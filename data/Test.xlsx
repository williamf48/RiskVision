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illiam\Documents\New folder\"/>
    </mc:Choice>
  </mc:AlternateContent>
  <xr:revisionPtr revIDLastSave="0" documentId="13_ncr:1_{230EC279-AF1E-469E-A511-DAFED050C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7" i="1"/>
  <c r="T8" i="1"/>
  <c r="T9" i="1"/>
  <c r="T10" i="1"/>
  <c r="T12" i="1"/>
  <c r="T13" i="1"/>
  <c r="T14" i="1"/>
  <c r="T15" i="1"/>
  <c r="T3" i="1"/>
  <c r="T2" i="1"/>
  <c r="S4" i="1" a="1"/>
  <c r="S4" i="1" s="1"/>
  <c r="S5" i="1" a="1"/>
  <c r="S5" i="1" s="1"/>
  <c r="S8" i="1" a="1"/>
  <c r="S8" i="1" s="1"/>
  <c r="S9" i="1" a="1"/>
  <c r="S9" i="1" s="1"/>
  <c r="S10" i="1" a="1"/>
  <c r="S10" i="1"/>
  <c r="S13" i="1" a="1"/>
  <c r="S13" i="1" s="1"/>
  <c r="S14" i="1" a="1"/>
  <c r="S14" i="1" s="1"/>
  <c r="S15" i="1" a="1"/>
  <c r="S15" i="1" s="1"/>
  <c r="S3" i="1" a="1"/>
  <c r="S3" i="1" s="1"/>
  <c r="R4" i="1" a="1"/>
  <c r="R4" i="1" s="1"/>
  <c r="R5" i="1" a="1"/>
  <c r="R5" i="1" s="1"/>
  <c r="R7" i="1" a="1"/>
  <c r="R7" i="1" s="1"/>
  <c r="R8" i="1" a="1"/>
  <c r="R8" i="1" s="1"/>
  <c r="R9" i="1" a="1"/>
  <c r="R9" i="1" s="1"/>
  <c r="R10" i="1" a="1"/>
  <c r="R10" i="1"/>
  <c r="R12" i="1" a="1"/>
  <c r="R12" i="1" s="1"/>
  <c r="R13" i="1" a="1"/>
  <c r="R13" i="1" s="1"/>
  <c r="R14" i="1" a="1"/>
  <c r="R14" i="1" s="1"/>
  <c r="R15" i="1" a="1"/>
  <c r="R15" i="1" s="1"/>
  <c r="R3" i="1" a="1"/>
  <c r="R3" i="1" s="1"/>
  <c r="Q4" i="1" a="1"/>
  <c r="Q4" i="1" s="1"/>
  <c r="Q5" i="1" a="1"/>
  <c r="Q5" i="1" s="1"/>
  <c r="Q8" i="1" a="1"/>
  <c r="Q8" i="1" s="1"/>
  <c r="Q9" i="1" a="1"/>
  <c r="Q9" i="1" s="1"/>
  <c r="Q10" i="1" a="1"/>
  <c r="Q10" i="1" s="1"/>
  <c r="Q13" i="1" a="1"/>
  <c r="Q13" i="1" s="1"/>
  <c r="Q14" i="1" a="1"/>
  <c r="Q14" i="1" s="1"/>
  <c r="Q15" i="1" a="1"/>
  <c r="Q15" i="1" s="1"/>
  <c r="Q3" i="1" a="1"/>
  <c r="Q3" i="1" s="1"/>
  <c r="P4" i="1" a="1"/>
  <c r="P4" i="1" s="1"/>
  <c r="P5" i="1" a="1"/>
  <c r="P5" i="1" s="1"/>
  <c r="P8" i="1" a="1"/>
  <c r="P8" i="1" s="1"/>
  <c r="P9" i="1" a="1"/>
  <c r="P9" i="1" s="1"/>
  <c r="P10" i="1" a="1"/>
  <c r="P10" i="1" s="1"/>
  <c r="P13" i="1" a="1"/>
  <c r="P13" i="1" s="1"/>
  <c r="P14" i="1" a="1"/>
  <c r="P14" i="1" s="1"/>
  <c r="P15" i="1" a="1"/>
  <c r="P15" i="1" s="1"/>
  <c r="P3" i="1" a="1"/>
  <c r="P3" i="1" s="1"/>
  <c r="P2" i="1" a="1"/>
  <c r="P2" i="1" s="1"/>
  <c r="N8" i="1"/>
  <c r="N9" i="1"/>
  <c r="N10" i="1"/>
  <c r="N13" i="1"/>
  <c r="N14" i="1"/>
  <c r="N15" i="1"/>
  <c r="M8" i="1"/>
  <c r="M9" i="1"/>
  <c r="M10" i="1"/>
  <c r="M13" i="1"/>
  <c r="M14" i="1"/>
  <c r="M15" i="1"/>
  <c r="L4" i="1"/>
  <c r="L5" i="1"/>
  <c r="L8" i="1"/>
  <c r="L9" i="1"/>
  <c r="L10" i="1"/>
  <c r="L13" i="1"/>
  <c r="L14" i="1"/>
  <c r="L15" i="1"/>
  <c r="O4" i="1"/>
  <c r="O5" i="1"/>
  <c r="O8" i="1"/>
  <c r="O9" i="1"/>
  <c r="O10" i="1"/>
  <c r="O13" i="1"/>
  <c r="O14" i="1"/>
  <c r="O15" i="1"/>
  <c r="O3" i="1"/>
  <c r="K3" i="1"/>
  <c r="K4" i="1"/>
  <c r="N4" i="1" s="1"/>
  <c r="K5" i="1"/>
  <c r="N5" i="1" s="1"/>
  <c r="K7" i="1"/>
  <c r="K8" i="1"/>
  <c r="K9" i="1"/>
  <c r="K10" i="1"/>
  <c r="K12" i="1"/>
  <c r="K13" i="1"/>
  <c r="K14" i="1"/>
  <c r="K15" i="1"/>
  <c r="J3" i="1"/>
  <c r="J4" i="1"/>
  <c r="M4" i="1" s="1"/>
  <c r="J5" i="1"/>
  <c r="M5" i="1" s="1"/>
  <c r="J7" i="1"/>
  <c r="J8" i="1"/>
  <c r="J9" i="1"/>
  <c r="J10" i="1"/>
  <c r="J12" i="1"/>
  <c r="J13" i="1"/>
  <c r="J14" i="1"/>
  <c r="J15" i="1"/>
  <c r="K2" i="1"/>
  <c r="J2" i="1"/>
  <c r="I3" i="1"/>
  <c r="I4" i="1"/>
  <c r="I5" i="1"/>
  <c r="I7" i="1"/>
  <c r="I8" i="1"/>
  <c r="I9" i="1"/>
  <c r="I10" i="1"/>
  <c r="I12" i="1"/>
  <c r="I13" i="1"/>
  <c r="I14" i="1"/>
  <c r="I15" i="1"/>
  <c r="I2" i="1"/>
  <c r="N3" i="1" l="1"/>
  <c r="L3" i="1"/>
  <c r="M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<sst xmlns="http://schemas.openxmlformats.org/spreadsheetml/2006/main" count="45" uniqueCount="28">
  <si>
    <t>Company</t>
  </si>
  <si>
    <t>Quarter</t>
  </si>
  <si>
    <t>Debt</t>
  </si>
  <si>
    <t>EBITDA</t>
  </si>
  <si>
    <t>Interest</t>
  </si>
  <si>
    <t>Receivables</t>
  </si>
  <si>
    <t>Revenue</t>
  </si>
  <si>
    <t>Cash Flow</t>
  </si>
  <si>
    <t>Debt/EBITDA</t>
  </si>
  <si>
    <t>ICR = EBIT / Interest</t>
  </si>
  <si>
    <t>Receivable % = Receivables / Revenue</t>
  </si>
  <si>
    <t>ABC Ltd</t>
  </si>
  <si>
    <t>Q1</t>
  </si>
  <si>
    <t>Q2</t>
  </si>
  <si>
    <t>Q3</t>
  </si>
  <si>
    <t>Q4</t>
  </si>
  <si>
    <t>XYZ Ltd</t>
  </si>
  <si>
    <t>PQR Ltd</t>
  </si>
  <si>
    <t>Debt/EBITDA Change</t>
  </si>
  <si>
    <t>ICR Change</t>
  </si>
  <si>
    <t>Receivable % Change</t>
  </si>
  <si>
    <t>Cash Flow Change</t>
  </si>
  <si>
    <t>Leverage Stress</t>
  </si>
  <si>
    <t>Coverage Weakening</t>
  </si>
  <si>
    <t>WC Stress</t>
  </si>
  <si>
    <t>Cash Flow Risk</t>
  </si>
  <si>
    <t>Sum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</si>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</sst>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0" fillId="0" borderId="0" xfId="0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8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>
      <selection activeCell="N27" sqref="N27"/>
    </sheetView>
  </sheetViews>
  <sheetFormatPr defaultRowHeight="15" x14ac:dyDescent="0.25"/>
  <cols>
    <col min="1" max="1" width="8" customWidth="1"/>
    <col min="2" max="2" width="4.5703125" customWidth="1"/>
    <col min="3" max="3" width="6.7109375" customWidth="1"/>
    <col min="9" max="9" width="12" customWidth="1"/>
    <col min="10" max="10" width="16.42578125" customWidth="1"/>
    <col min="11" max="11" width="26.140625" customWidth="1"/>
    <col min="12" max="12" width="21.85546875" customWidth="1"/>
    <col min="13" max="13" width="11.85546875" customWidth="1"/>
    <col min="14" max="14" width="19.7109375" customWidth="1"/>
    <col min="15" max="15" width="21.7109375" customWidth="1"/>
    <col min="16" max="16" width="11.7109375" customWidth="1"/>
    <col min="17" max="17" width="13.7109375" customWidth="1"/>
    <col min="18" max="18" width="11.140625" customWidth="1"/>
    <col min="19" max="19" width="14.42578125" customWidth="1"/>
  </cols>
  <sheetData>
    <row r="1" spans="1:20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2" t="s">
        <v>8</v>
      </c>
      <c r="J1" s="13" t="s">
        <v>9</v>
      </c>
      <c r="K1" s="13" t="s">
        <v>10</v>
      </c>
      <c r="L1" s="13" t="s">
        <v>18</v>
      </c>
      <c r="M1" t="s">
        <v>19</v>
      </c>
      <c r="N1" t="s">
        <v>20</v>
      </c>
      <c r="O1" s="13" t="s">
        <v>21</v>
      </c>
      <c r="P1" s="15" t="s">
        <v>22</v>
      </c>
      <c r="Q1" s="16" t="s">
        <v>23</v>
      </c>
      <c r="R1" s="16" t="s">
        <v>24</v>
      </c>
      <c r="S1" s="14" t="s">
        <v>25</v>
      </c>
      <c r="T1" s="11" t="s">
        <v>26</v>
      </c>
    </row>
    <row r="2" spans="1:20" x14ac:dyDescent="0.25">
      <c r="A2" s="2" t="s">
        <v>11</v>
      </c>
      <c r="B2" s="3" t="s">
        <v>12</v>
      </c>
      <c r="C2" s="3">
        <v>100</v>
      </c>
      <c r="D2" s="3">
        <v>40</v>
      </c>
      <c r="E2" s="3">
        <v>10</v>
      </c>
      <c r="F2" s="3">
        <v>80</v>
      </c>
      <c r="G2" s="3">
        <v>200</v>
      </c>
      <c r="H2" s="3">
        <v>35</v>
      </c>
      <c r="I2" s="4">
        <f>C2/D2</f>
        <v>2.5</v>
      </c>
      <c r="J2" s="4">
        <f>D2/E2</f>
        <v>4</v>
      </c>
      <c r="K2" s="4">
        <f>F2/G2</f>
        <v>0.4</v>
      </c>
      <c r="L2" s="4">
        <v>0</v>
      </c>
      <c r="M2" s="4">
        <v>0</v>
      </c>
      <c r="N2" s="4">
        <v>0</v>
      </c>
      <c r="O2" s="4">
        <v>0</v>
      </c>
      <c r="P2" s="7" cm="1">
        <f t="array" ref="P2">_xlfn.IFS(L2&gt;0.4,1,L2&gt;0.2,0.5,TRUE,0)</f>
        <v>0</v>
      </c>
      <c r="Q2" s="7">
        <v>0</v>
      </c>
      <c r="R2" s="7">
        <v>0</v>
      </c>
      <c r="S2" s="7">
        <v>0</v>
      </c>
      <c r="T2">
        <f>(P2 * 1) + (Q2 * 2) + (R2 * 1) + (S2 * 2)</f>
        <v>0</v>
      </c>
    </row>
    <row r="3" spans="1:20" x14ac:dyDescent="0.25">
      <c r="A3" s="5" t="s">
        <v>11</v>
      </c>
      <c r="B3" s="6" t="s">
        <v>13</v>
      </c>
      <c r="C3" s="6">
        <v>105</v>
      </c>
      <c r="D3" s="6">
        <v>42</v>
      </c>
      <c r="E3" s="6">
        <v>11</v>
      </c>
      <c r="F3" s="6">
        <v>82</v>
      </c>
      <c r="G3" s="6">
        <v>210</v>
      </c>
      <c r="H3" s="6">
        <v>36</v>
      </c>
      <c r="I3" s="7">
        <f t="shared" ref="I3:I15" si="0">C3/D3</f>
        <v>2.5</v>
      </c>
      <c r="J3" s="7">
        <f t="shared" ref="J3:J15" si="1">D3/E3</f>
        <v>3.8181818181818183</v>
      </c>
      <c r="K3" s="7">
        <f t="shared" ref="K3:K15" si="2">F3/G3</f>
        <v>0.39047619047619048</v>
      </c>
      <c r="L3" s="7">
        <f>I3-I2</f>
        <v>0</v>
      </c>
      <c r="M3" s="7">
        <f>J3-J2</f>
        <v>-0.18181818181818166</v>
      </c>
      <c r="N3" s="7">
        <f>K3-K2</f>
        <v>-9.5238095238095455E-3</v>
      </c>
      <c r="O3" s="7">
        <f>H3-H2</f>
        <v>1</v>
      </c>
      <c r="P3" s="7" cm="1">
        <f t="array" ref="P3">IF(AND(L3 &gt; 0.2, L2 &gt; 0.2), _xlfn.IFS(L3 &gt; 0.4, 1, L3 &gt; 0.2, 0.5, TRUE, 0), 0)</f>
        <v>0</v>
      </c>
      <c r="Q3" cm="1">
        <f t="array" ref="Q3">IF(AND(M3 &lt; -0.3, M2 &lt; -0.3), _xlfn.IFS(M3 &lt; -0.6, 1, M3 &lt; -0.3, 0.5, TRUE, 0), 0)</f>
        <v>0</v>
      </c>
      <c r="R3" s="7" cm="1">
        <f t="array" ref="R3">IF(AND(N3 &gt; 0.05, N2 &gt; 0.05), _xlfn.IFS(N3 &gt; 0.1, 1, N3 &gt; 0.05, 0.5, TRUE, 0), 0)</f>
        <v>0</v>
      </c>
      <c r="S3" s="7" cm="1">
        <f t="array" ref="S3">IF(AND(O3 &lt; -5, O2 &lt; -5), _xlfn.IFS(O3 &lt; -10, 1, O3 &lt; -5, 0.5, TRUE, 0), 0)</f>
        <v>0</v>
      </c>
      <c r="T3">
        <f>(P3 * 1) + (Q3 * 2) + (R3 * 1) + (S3 * 2)</f>
        <v>0</v>
      </c>
    </row>
    <row r="4" spans="1:20" x14ac:dyDescent="0.25">
      <c r="A4" s="5" t="s">
        <v>11</v>
      </c>
      <c r="B4" s="6" t="s">
        <v>14</v>
      </c>
      <c r="C4" s="6">
        <v>110</v>
      </c>
      <c r="D4" s="6">
        <v>44</v>
      </c>
      <c r="E4" s="6">
        <v>11</v>
      </c>
      <c r="F4" s="6">
        <v>85</v>
      </c>
      <c r="G4" s="6">
        <v>220</v>
      </c>
      <c r="H4" s="6">
        <v>38</v>
      </c>
      <c r="I4" s="7">
        <f t="shared" si="0"/>
        <v>2.5</v>
      </c>
      <c r="J4" s="7">
        <f t="shared" si="1"/>
        <v>4</v>
      </c>
      <c r="K4" s="7">
        <f t="shared" si="2"/>
        <v>0.38636363636363635</v>
      </c>
      <c r="L4" s="7">
        <f t="shared" ref="L4:L15" si="3">I4-I3</f>
        <v>0</v>
      </c>
      <c r="M4" s="7">
        <f t="shared" ref="M4:M15" si="4">J4-J3</f>
        <v>0.18181818181818166</v>
      </c>
      <c r="N4" s="7">
        <f t="shared" ref="N4:N15" si="5">K4-K3</f>
        <v>-4.1125541125541232E-3</v>
      </c>
      <c r="O4" s="7">
        <f t="shared" ref="O4:O15" si="6">H4-H3</f>
        <v>2</v>
      </c>
      <c r="P4" s="7" cm="1">
        <f t="array" ref="P4">IF(AND(L4 &gt; 0.2, L3 &gt; 0.2), _xlfn.IFS(L4 &gt; 0.4, 1, L4 &gt; 0.2, 0.5, TRUE, 0), 0)</f>
        <v>0</v>
      </c>
      <c r="Q4" cm="1">
        <f t="array" ref="Q4">IF(AND(M4 &lt; -0.3, M3 &lt; -0.3), _xlfn.IFS(M4 &lt; -0.6, 1, M4 &lt; -0.3, 0.5, TRUE, 0), 0)</f>
        <v>0</v>
      </c>
      <c r="R4" s="7" cm="1">
        <f t="array" ref="R4">IF(AND(N4 &gt; 0.05, N3 &gt; 0.05), _xlfn.IFS(N4 &gt; 0.1, 1, N4 &gt; 0.05, 0.5, TRUE, 0), 0)</f>
        <v>0</v>
      </c>
      <c r="S4" s="7" cm="1">
        <f t="array" ref="S4">IF(AND(O4 &lt; -5, O3 &lt; -5), _xlfn.IFS(O4 &lt; -10, 1, O4 &lt; -5, 0.5, TRUE, 0), 0)</f>
        <v>0</v>
      </c>
      <c r="T4">
        <f t="shared" ref="T4:T15" si="7">(P4 * 1) + (Q4 * 2) + (R4 * 1) + (S4 * 2)</f>
        <v>0</v>
      </c>
    </row>
    <row r="5" spans="1:20" ht="15.75" thickBot="1" x14ac:dyDescent="0.3">
      <c r="A5" s="8" t="s">
        <v>11</v>
      </c>
      <c r="B5" s="9" t="s">
        <v>15</v>
      </c>
      <c r="C5" s="9">
        <v>115</v>
      </c>
      <c r="D5" s="9">
        <v>46</v>
      </c>
      <c r="E5" s="9">
        <v>12</v>
      </c>
      <c r="F5" s="9">
        <v>88</v>
      </c>
      <c r="G5" s="9">
        <v>230</v>
      </c>
      <c r="H5" s="9">
        <v>40</v>
      </c>
      <c r="I5" s="10">
        <f t="shared" si="0"/>
        <v>2.5</v>
      </c>
      <c r="J5" s="10">
        <f t="shared" si="1"/>
        <v>3.8333333333333335</v>
      </c>
      <c r="K5" s="10">
        <f t="shared" si="2"/>
        <v>0.38260869565217392</v>
      </c>
      <c r="L5" s="10">
        <f t="shared" si="3"/>
        <v>0</v>
      </c>
      <c r="M5" s="10">
        <f t="shared" si="4"/>
        <v>-0.16666666666666652</v>
      </c>
      <c r="N5" s="10">
        <f t="shared" si="5"/>
        <v>-3.7549407114624289E-3</v>
      </c>
      <c r="O5" s="10">
        <f t="shared" si="6"/>
        <v>2</v>
      </c>
      <c r="P5" s="7" cm="1">
        <f t="array" ref="P5">IF(AND(L5 &gt; 0.2, L4 &gt; 0.2), _xlfn.IFS(L5 &gt; 0.4, 1, L5 &gt; 0.2, 0.5, TRUE, 0), 0)</f>
        <v>0</v>
      </c>
      <c r="Q5" cm="1">
        <f t="array" ref="Q5">IF(AND(M5 &lt; -0.3, M4 &lt; -0.3), _xlfn.IFS(M5 &lt; -0.6, 1, M5 &lt; -0.3, 0.5, TRUE, 0), 0)</f>
        <v>0</v>
      </c>
      <c r="R5" s="7" cm="1">
        <f t="array" ref="R5">IF(AND(N5 &gt; 0.05, N4 &gt; 0.05), _xlfn.IFS(N5 &gt; 0.1, 1, N5 &gt; 0.05, 0.5, TRUE, 0), 0)</f>
        <v>0</v>
      </c>
      <c r="S5" s="7" cm="1">
        <f t="array" ref="S5">IF(AND(O5 &lt; -5, O4 &lt; -5), _xlfn.IFS(O5 &lt; -10, 1, O5 &lt; -5, 0.5, TRUE, 0), 0)</f>
        <v>0</v>
      </c>
      <c r="T5">
        <f t="shared" si="7"/>
        <v>0</v>
      </c>
    </row>
    <row r="6" spans="1:20" ht="15.75" thickBot="1" x14ac:dyDescent="0.3">
      <c r="A6" s="6"/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R6" s="7"/>
      <c r="S6" s="7"/>
    </row>
    <row r="7" spans="1:20" x14ac:dyDescent="0.25">
      <c r="A7" s="2" t="s">
        <v>16</v>
      </c>
      <c r="B7" s="3" t="s">
        <v>12</v>
      </c>
      <c r="C7" s="3">
        <v>120</v>
      </c>
      <c r="D7" s="3">
        <v>50</v>
      </c>
      <c r="E7" s="3">
        <v>12</v>
      </c>
      <c r="F7" s="3">
        <v>90</v>
      </c>
      <c r="G7" s="3">
        <v>250</v>
      </c>
      <c r="H7" s="3">
        <v>45</v>
      </c>
      <c r="I7" s="4">
        <f t="shared" si="0"/>
        <v>2.4</v>
      </c>
      <c r="J7" s="4">
        <f t="shared" si="1"/>
        <v>4.166666666666667</v>
      </c>
      <c r="K7" s="4">
        <f t="shared" si="2"/>
        <v>0.36</v>
      </c>
      <c r="L7" s="4">
        <v>0</v>
      </c>
      <c r="M7" s="4">
        <v>0</v>
      </c>
      <c r="N7" s="4">
        <v>0</v>
      </c>
      <c r="O7" s="4">
        <v>0</v>
      </c>
      <c r="P7" s="7">
        <v>0</v>
      </c>
      <c r="Q7">
        <v>0</v>
      </c>
      <c r="R7" s="7" cm="1">
        <f t="array" ref="R7">IF(AND(N7 &gt; 0.05, N6 &gt; 0.05), _xlfn.IFS(N7 &gt; 0.1, 1, N7 &gt; 0.05, 0.5, TRUE, 0), 0)</f>
        <v>0</v>
      </c>
      <c r="S7" s="7">
        <v>0</v>
      </c>
      <c r="T7">
        <f t="shared" si="7"/>
        <v>0</v>
      </c>
    </row>
    <row r="8" spans="1:20" x14ac:dyDescent="0.25">
      <c r="A8" s="5" t="s">
        <v>16</v>
      </c>
      <c r="B8" s="6" t="s">
        <v>13</v>
      </c>
      <c r="C8" s="6">
        <v>135</v>
      </c>
      <c r="D8" s="6">
        <v>50</v>
      </c>
      <c r="E8" s="6">
        <v>14</v>
      </c>
      <c r="F8" s="6">
        <v>110</v>
      </c>
      <c r="G8" s="6">
        <v>255</v>
      </c>
      <c r="H8" s="6">
        <v>40</v>
      </c>
      <c r="I8" s="7">
        <f t="shared" si="0"/>
        <v>2.7</v>
      </c>
      <c r="J8" s="7">
        <f t="shared" si="1"/>
        <v>3.5714285714285716</v>
      </c>
      <c r="K8" s="7">
        <f t="shared" si="2"/>
        <v>0.43137254901960786</v>
      </c>
      <c r="L8" s="7">
        <f t="shared" si="3"/>
        <v>0.30000000000000027</v>
      </c>
      <c r="M8" s="7">
        <f t="shared" si="4"/>
        <v>-0.59523809523809534</v>
      </c>
      <c r="N8" s="7">
        <f t="shared" si="5"/>
        <v>7.1372549019607878E-2</v>
      </c>
      <c r="O8" s="7">
        <f t="shared" si="6"/>
        <v>-5</v>
      </c>
      <c r="P8" s="7" cm="1">
        <f t="array" ref="P8">IF(AND(L8 &gt; 0.2, L7 &gt; 0.2), _xlfn.IFS(L8 &gt; 0.4, 1, L8 &gt; 0.2, 0.5, TRUE, 0), 0)</f>
        <v>0</v>
      </c>
      <c r="Q8" cm="1">
        <f t="array" ref="Q8">IF(AND(M8 &lt; -0.3, M7 &lt; -0.3), _xlfn.IFS(M8 &lt; -0.6, 1, M8 &lt; -0.3, 0.5, TRUE, 0), 0)</f>
        <v>0</v>
      </c>
      <c r="R8" s="7" cm="1">
        <f t="array" ref="R8">IF(AND(N8 &gt; 0.05, N7 &gt; 0.05), _xlfn.IFS(N8 &gt; 0.1, 1, N8 &gt; 0.05, 0.5, TRUE, 0), 0)</f>
        <v>0</v>
      </c>
      <c r="S8" s="7" cm="1">
        <f t="array" ref="S8">IF(AND(O8 &lt; -5, O7 &lt; -5), _xlfn.IFS(O8 &lt; -10, 1, O8 &lt; -5, 0.5, TRUE, 0), 0)</f>
        <v>0</v>
      </c>
      <c r="T8">
        <f t="shared" si="7"/>
        <v>0</v>
      </c>
    </row>
    <row r="9" spans="1:20" x14ac:dyDescent="0.25">
      <c r="A9" s="5" t="s">
        <v>16</v>
      </c>
      <c r="B9" s="6" t="s">
        <v>14</v>
      </c>
      <c r="C9" s="6">
        <v>150</v>
      </c>
      <c r="D9" s="6">
        <v>48</v>
      </c>
      <c r="E9" s="6">
        <v>16</v>
      </c>
      <c r="F9" s="6">
        <v>135</v>
      </c>
      <c r="G9" s="6">
        <v>260</v>
      </c>
      <c r="H9" s="6">
        <v>32</v>
      </c>
      <c r="I9" s="7">
        <f t="shared" si="0"/>
        <v>3.125</v>
      </c>
      <c r="J9" s="7">
        <f t="shared" si="1"/>
        <v>3</v>
      </c>
      <c r="K9" s="7">
        <f t="shared" si="2"/>
        <v>0.51923076923076927</v>
      </c>
      <c r="L9" s="7">
        <f t="shared" si="3"/>
        <v>0.42499999999999982</v>
      </c>
      <c r="M9" s="7">
        <f t="shared" si="4"/>
        <v>-0.57142857142857162</v>
      </c>
      <c r="N9" s="7">
        <f t="shared" si="5"/>
        <v>8.7858220211161409E-2</v>
      </c>
      <c r="O9" s="7">
        <f t="shared" si="6"/>
        <v>-8</v>
      </c>
      <c r="P9" s="7" cm="1">
        <f t="array" ref="P9">IF(AND(L9 &gt; 0.2, L8 &gt; 0.2), _xlfn.IFS(L9 &gt; 0.4, 1, L9 &gt; 0.2, 0.5, TRUE, 0), 0)</f>
        <v>1</v>
      </c>
      <c r="Q9" cm="1">
        <f t="array" ref="Q9">IF(AND(M9 &lt; -0.3, M8 &lt; -0.3), _xlfn.IFS(M9 &lt; -0.6, 1, M9 &lt; -0.3, 0.5, TRUE, 0), 0)</f>
        <v>0.5</v>
      </c>
      <c r="R9" s="7" cm="1">
        <f t="array" ref="R9">IF(AND(N9 &gt; 0.05, N8 &gt; 0.05), _xlfn.IFS(N9 &gt; 0.1, 1, N9 &gt; 0.05, 0.5, TRUE, 0), 0)</f>
        <v>0.5</v>
      </c>
      <c r="S9" s="7" cm="1">
        <f t="array" ref="S9">IF(AND(O9 &lt; -5, O8 &lt; -5), _xlfn.IFS(O9 &lt; -10, 1, O9 &lt; -5, 0.5, TRUE, 0), 0)</f>
        <v>0</v>
      </c>
      <c r="T9">
        <f t="shared" si="7"/>
        <v>2.5</v>
      </c>
    </row>
    <row r="10" spans="1:20" ht="15.75" thickBot="1" x14ac:dyDescent="0.3">
      <c r="A10" s="8" t="s">
        <v>16</v>
      </c>
      <c r="B10" s="9" t="s">
        <v>15</v>
      </c>
      <c r="C10" s="9">
        <v>170</v>
      </c>
      <c r="D10" s="9">
        <v>45</v>
      </c>
      <c r="E10" s="9">
        <v>18</v>
      </c>
      <c r="F10" s="9">
        <v>160</v>
      </c>
      <c r="G10" s="9">
        <v>265</v>
      </c>
      <c r="H10" s="9">
        <v>25</v>
      </c>
      <c r="I10" s="10">
        <f t="shared" si="0"/>
        <v>3.7777777777777777</v>
      </c>
      <c r="J10" s="10">
        <f t="shared" si="1"/>
        <v>2.5</v>
      </c>
      <c r="K10" s="10">
        <f t="shared" si="2"/>
        <v>0.60377358490566035</v>
      </c>
      <c r="L10" s="10">
        <f t="shared" si="3"/>
        <v>0.65277777777777768</v>
      </c>
      <c r="M10" s="10">
        <f t="shared" si="4"/>
        <v>-0.5</v>
      </c>
      <c r="N10" s="10">
        <f t="shared" si="5"/>
        <v>8.4542815674891081E-2</v>
      </c>
      <c r="O10" s="10">
        <f t="shared" si="6"/>
        <v>-7</v>
      </c>
      <c r="P10" s="7" cm="1">
        <f t="array" ref="P10">IF(AND(L10 &gt; 0.2, L9 &gt; 0.2), _xlfn.IFS(L10 &gt; 0.4, 1, L10 &gt; 0.2, 0.5, TRUE, 0), 0)</f>
        <v>1</v>
      </c>
      <c r="Q10" cm="1">
        <f t="array" ref="Q10">IF(AND(M10 &lt; -0.3, M9 &lt; -0.3), _xlfn.IFS(M10 &lt; -0.6, 1, M10 &lt; -0.3, 0.5, TRUE, 0), 0)</f>
        <v>0.5</v>
      </c>
      <c r="R10" s="7" cm="1">
        <f t="array" ref="R10">IF(AND(N10 &gt; 0.05, N9 &gt; 0.05), _xlfn.IFS(N10 &gt; 0.1, 1, N10 &gt; 0.05, 0.5, TRUE, 0), 0)</f>
        <v>0.5</v>
      </c>
      <c r="S10" s="7" cm="1">
        <f t="array" ref="S10">IF(AND(O10 &lt; -5, O9 &lt; -5), _xlfn.IFS(O10 &lt; -10, 1, O10 &lt; -5, 0.5, TRUE, 0), 0)</f>
        <v>0.5</v>
      </c>
      <c r="T10">
        <f t="shared" si="7"/>
        <v>3.5</v>
      </c>
    </row>
    <row r="11" spans="1:20" ht="15.75" thickBot="1" x14ac:dyDescent="0.3">
      <c r="A11" s="6"/>
      <c r="B11" s="6"/>
      <c r="C11" s="6"/>
      <c r="D11" s="6"/>
      <c r="E11" s="6"/>
      <c r="F11" s="6"/>
      <c r="G11" s="6"/>
      <c r="H11" s="6"/>
      <c r="I11" s="7"/>
      <c r="J11" s="7"/>
      <c r="K11" s="7"/>
      <c r="L11" s="7"/>
      <c r="M11" s="7"/>
      <c r="N11" s="7"/>
      <c r="O11" s="7"/>
      <c r="P11" s="7"/>
      <c r="R11" s="7"/>
      <c r="S11" s="7"/>
    </row>
    <row r="12" spans="1:20" x14ac:dyDescent="0.25">
      <c r="A12" s="2" t="s">
        <v>17</v>
      </c>
      <c r="B12" s="3" t="s">
        <v>12</v>
      </c>
      <c r="C12" s="3">
        <v>150</v>
      </c>
      <c r="D12" s="3">
        <v>60</v>
      </c>
      <c r="E12" s="3">
        <v>15</v>
      </c>
      <c r="F12" s="3">
        <v>100</v>
      </c>
      <c r="G12" s="3">
        <v>300</v>
      </c>
      <c r="H12" s="3">
        <v>50</v>
      </c>
      <c r="I12" s="4">
        <f t="shared" si="0"/>
        <v>2.5</v>
      </c>
      <c r="J12" s="4">
        <f t="shared" si="1"/>
        <v>4</v>
      </c>
      <c r="K12" s="4">
        <f t="shared" si="2"/>
        <v>0.33333333333333331</v>
      </c>
      <c r="L12" s="4">
        <v>0</v>
      </c>
      <c r="M12" s="4">
        <v>0</v>
      </c>
      <c r="N12" s="4">
        <v>0</v>
      </c>
      <c r="O12" s="4">
        <v>0</v>
      </c>
      <c r="P12" s="7">
        <v>0</v>
      </c>
      <c r="Q12">
        <v>0</v>
      </c>
      <c r="R12" s="7" cm="1">
        <f t="array" ref="R12">IF(AND(N12 &gt; 0.05, N11 &gt; 0.05), _xlfn.IFS(N12 &gt; 0.1, 1, N12 &gt; 0.05, 0.5, TRUE, 0), 0)</f>
        <v>0</v>
      </c>
      <c r="S12" s="7">
        <v>0</v>
      </c>
      <c r="T12">
        <f t="shared" si="7"/>
        <v>0</v>
      </c>
    </row>
    <row r="13" spans="1:20" x14ac:dyDescent="0.25">
      <c r="A13" s="5" t="s">
        <v>17</v>
      </c>
      <c r="B13" s="6" t="s">
        <v>13</v>
      </c>
      <c r="C13" s="6">
        <v>180</v>
      </c>
      <c r="D13" s="6">
        <v>55</v>
      </c>
      <c r="E13" s="6">
        <v>18</v>
      </c>
      <c r="F13" s="6">
        <v>140</v>
      </c>
      <c r="G13" s="6">
        <v>290</v>
      </c>
      <c r="H13" s="6">
        <v>35</v>
      </c>
      <c r="I13" s="7">
        <f t="shared" si="0"/>
        <v>3.2727272727272729</v>
      </c>
      <c r="J13" s="7">
        <f t="shared" si="1"/>
        <v>3.0555555555555554</v>
      </c>
      <c r="K13" s="7">
        <f t="shared" si="2"/>
        <v>0.48275862068965519</v>
      </c>
      <c r="L13" s="7">
        <f t="shared" si="3"/>
        <v>0.77272727272727293</v>
      </c>
      <c r="M13" s="7">
        <f t="shared" si="4"/>
        <v>-0.94444444444444464</v>
      </c>
      <c r="N13" s="7">
        <f t="shared" si="5"/>
        <v>0.14942528735632188</v>
      </c>
      <c r="O13" s="7">
        <f t="shared" si="6"/>
        <v>-15</v>
      </c>
      <c r="P13" s="7" cm="1">
        <f t="array" ref="P13">IF(AND(L13 &gt; 0.2, L12 &gt; 0.2), _xlfn.IFS(L13 &gt; 0.4, 1, L13 &gt; 0.2, 0.5, TRUE, 0), 0)</f>
        <v>0</v>
      </c>
      <c r="Q13" cm="1">
        <f t="array" ref="Q13">IF(AND(M13 &lt; -0.3, M12 &lt; -0.3), _xlfn.IFS(M13 &lt; -0.6, 1, M13 &lt; -0.3, 0.5, TRUE, 0), 0)</f>
        <v>0</v>
      </c>
      <c r="R13" s="7" cm="1">
        <f t="array" ref="R13">IF(AND(N13 &gt; 0.05, N12 &gt; 0.05), _xlfn.IFS(N13 &gt; 0.1, 1, N13 &gt; 0.05, 0.5, TRUE, 0), 0)</f>
        <v>0</v>
      </c>
      <c r="S13" s="7" cm="1">
        <f t="array" ref="S13">IF(AND(O13 &lt; -5, O12 &lt; -5), _xlfn.IFS(O13 &lt; -10, 1, O13 &lt; -5, 0.5, TRUE, 0), 0)</f>
        <v>0</v>
      </c>
      <c r="T13">
        <f t="shared" si="7"/>
        <v>0</v>
      </c>
    </row>
    <row r="14" spans="1:20" x14ac:dyDescent="0.25">
      <c r="A14" s="5" t="s">
        <v>17</v>
      </c>
      <c r="B14" s="6" t="s">
        <v>14</v>
      </c>
      <c r="C14" s="6">
        <v>220</v>
      </c>
      <c r="D14" s="6">
        <v>50</v>
      </c>
      <c r="E14" s="6">
        <v>22</v>
      </c>
      <c r="F14" s="6">
        <v>180</v>
      </c>
      <c r="G14" s="6">
        <v>270</v>
      </c>
      <c r="H14" s="6">
        <v>20</v>
      </c>
      <c r="I14" s="7">
        <f t="shared" si="0"/>
        <v>4.4000000000000004</v>
      </c>
      <c r="J14" s="7">
        <f t="shared" si="1"/>
        <v>2.2727272727272729</v>
      </c>
      <c r="K14" s="7">
        <f t="shared" si="2"/>
        <v>0.66666666666666663</v>
      </c>
      <c r="L14" s="7">
        <f t="shared" si="3"/>
        <v>1.1272727272727274</v>
      </c>
      <c r="M14" s="7">
        <f t="shared" si="4"/>
        <v>-0.78282828282828243</v>
      </c>
      <c r="N14" s="7">
        <f t="shared" si="5"/>
        <v>0.18390804597701144</v>
      </c>
      <c r="O14" s="7">
        <f t="shared" si="6"/>
        <v>-15</v>
      </c>
      <c r="P14" s="7" cm="1">
        <f t="array" ref="P14">IF(AND(L14 &gt; 0.2, L13 &gt; 0.2), _xlfn.IFS(L14 &gt; 0.4, 1, L14 &gt; 0.2, 0.5, TRUE, 0), 0)</f>
        <v>1</v>
      </c>
      <c r="Q14" cm="1">
        <f t="array" ref="Q14">IF(AND(M14 &lt; -0.3, M13 &lt; -0.3), _xlfn.IFS(M14 &lt; -0.6, 1, M14 &lt; -0.3, 0.5, TRUE, 0), 0)</f>
        <v>1</v>
      </c>
      <c r="R14" s="7" cm="1">
        <f t="array" ref="R14">IF(AND(N14 &gt; 0.05, N13 &gt; 0.05), _xlfn.IFS(N14 &gt; 0.1, 1, N14 &gt; 0.05, 0.5, TRUE, 0), 0)</f>
        <v>1</v>
      </c>
      <c r="S14" s="7" cm="1">
        <f t="array" ref="S14">IF(AND(O14 &lt; -5, O13 &lt; -5), _xlfn.IFS(O14 &lt; -10, 1, O14 &lt; -5, 0.5, TRUE, 0), 0)</f>
        <v>1</v>
      </c>
      <c r="T14">
        <f t="shared" si="7"/>
        <v>6</v>
      </c>
    </row>
    <row r="15" spans="1:20" ht="15.75" thickBot="1" x14ac:dyDescent="0.3">
      <c r="A15" s="8" t="s">
        <v>17</v>
      </c>
      <c r="B15" s="9" t="s">
        <v>15</v>
      </c>
      <c r="C15" s="9">
        <v>260</v>
      </c>
      <c r="D15" s="9">
        <v>45</v>
      </c>
      <c r="E15" s="9">
        <v>28</v>
      </c>
      <c r="F15" s="9">
        <v>220</v>
      </c>
      <c r="G15" s="9">
        <v>250</v>
      </c>
      <c r="H15" s="9">
        <v>5</v>
      </c>
      <c r="I15" s="10">
        <f t="shared" si="0"/>
        <v>5.7777777777777777</v>
      </c>
      <c r="J15" s="10">
        <f t="shared" si="1"/>
        <v>1.6071428571428572</v>
      </c>
      <c r="K15" s="10">
        <f t="shared" si="2"/>
        <v>0.88</v>
      </c>
      <c r="L15" s="10">
        <f t="shared" si="3"/>
        <v>1.3777777777777773</v>
      </c>
      <c r="M15" s="10">
        <f t="shared" si="4"/>
        <v>-0.66558441558441572</v>
      </c>
      <c r="N15" s="10">
        <f t="shared" si="5"/>
        <v>0.21333333333333337</v>
      </c>
      <c r="O15" s="10">
        <f t="shared" si="6"/>
        <v>-15</v>
      </c>
      <c r="P15" s="7" cm="1">
        <f t="array" ref="P15">IF(AND(L15 &gt; 0.2, L14 &gt; 0.2), _xlfn.IFS(L15 &gt; 0.4, 1, L15 &gt; 0.2, 0.5, TRUE, 0), 0)</f>
        <v>1</v>
      </c>
      <c r="Q15" cm="1">
        <f t="array" ref="Q15">IF(AND(M15 &lt; -0.3, M14 &lt; -0.3), _xlfn.IFS(M15 &lt; -0.6, 1, M15 &lt; -0.3, 0.5, TRUE, 0), 0)</f>
        <v>1</v>
      </c>
      <c r="R15" s="7" cm="1">
        <f t="array" ref="R15">IF(AND(N15 &gt; 0.05, N14 &gt; 0.05), _xlfn.IFS(N15 &gt; 0.1, 1, N15 &gt; 0.05, 0.5, TRUE, 0), 0)</f>
        <v>1</v>
      </c>
      <c r="S15" s="7" cm="1">
        <f t="array" ref="S15">IF(AND(O15 &lt; -5, O14 &lt; -5), _xlfn.IFS(O15 &lt; -10, 1, O15 &lt; -5, 0.5, TRUE, 0), 0)</f>
        <v>1</v>
      </c>
      <c r="T15">
        <f t="shared" si="7"/>
        <v>6</v>
      </c>
    </row>
    <row r="24" spans="17:17" x14ac:dyDescent="0.25">
      <c r="Q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willy fernandes</cp:lastModifiedBy>
  <dcterms:created xsi:type="dcterms:W3CDTF">2015-06-05T18:17:20Z</dcterms:created>
  <dcterms:modified xsi:type="dcterms:W3CDTF">2026-04-06T16:19:47Z</dcterms:modified>
</cp:coreProperties>
</file>