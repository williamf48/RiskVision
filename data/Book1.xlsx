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\Documents\Risk Software\"/>
    </mc:Choice>
  </mc:AlternateContent>
  <xr:revisionPtr revIDLastSave="0" documentId="13_ncr:1_{D0F96BA2-B645-4A32-A0F5-FF4EF7D30978}" xr6:coauthVersionLast="47" xr6:coauthVersionMax="47" xr10:uidLastSave="{00000000-0000-0000-0000-000000000000}"/>
  <bookViews>
    <workbookView xWindow="-120" yWindow="-120" windowWidth="29040" windowHeight="15720" activeTab="2" xr2:uid="{84F65364-FA7B-45F4-A255-F4F8B46331B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G2" i="1"/>
  <c r="H2" i="1" s="1"/>
  <c r="H10" i="1"/>
  <c r="H11" i="1"/>
</calcChain>
</file>

<file path=xl/sharedStrings.xml><?xml version="1.0" encoding="utf-8"?>
<sst xmlns="http://schemas.openxmlformats.org/spreadsheetml/2006/main" count="201" uniqueCount="91">
  <si>
    <t>Borrower</t>
  </si>
  <si>
    <t>DPD</t>
  </si>
  <si>
    <t>DSCR</t>
  </si>
  <si>
    <t>Revenue Decline %</t>
  </si>
  <si>
    <t>Cash Flow</t>
  </si>
  <si>
    <t>Restructured</t>
  </si>
  <si>
    <t>Total Score</t>
  </si>
  <si>
    <t>Risk Class</t>
  </si>
  <si>
    <t>Positive</t>
  </si>
  <si>
    <t>No</t>
  </si>
  <si>
    <t>Negative</t>
  </si>
  <si>
    <t>Yes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</si>
  <si>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</si>
  <si>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</si>
  <si>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</si>
  <si>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</si>
  <si>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</si>
  <si>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</si>
  <si>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</si>
  <si>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</si>
  <si>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</si>
  <si>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</si>
  <si>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Trigger</t>
  </si>
  <si>
    <t>Severity</t>
  </si>
  <si>
    <t>Risk Points</t>
  </si>
  <si>
    <t>Action</t>
  </si>
  <si>
    <t>DPD &gt; 15</t>
  </si>
  <si>
    <t>Medium</t>
  </si>
  <si>
    <t>Analyst Review</t>
  </si>
  <si>
    <t>DPD &gt; 30</t>
  </si>
  <si>
    <t>High</t>
  </si>
  <si>
    <t>Escalate</t>
  </si>
  <si>
    <t>DPD &gt; 60</t>
  </si>
  <si>
    <t>Critical</t>
  </si>
  <si>
    <t>Immediate Action</t>
  </si>
  <si>
    <t>DSCR &lt; 1.20</t>
  </si>
  <si>
    <t>Monitor</t>
  </si>
  <si>
    <t>DSCR &lt; 1.00</t>
  </si>
  <si>
    <t>Watchlist</t>
  </si>
  <si>
    <t>Revenue decline &gt; 20%</t>
  </si>
  <si>
    <t>Review</t>
  </si>
  <si>
    <t>Negative cash flow</t>
  </si>
  <si>
    <t>Covenant breach</t>
  </si>
  <si>
    <t>Sector</t>
  </si>
  <si>
    <t>Exposure (Cr)</t>
  </si>
  <si>
    <t>Risk Score</t>
  </si>
  <si>
    <t>Alpha Manufacturing Ltd</t>
  </si>
  <si>
    <t>Manufacturing</t>
  </si>
  <si>
    <t>Low Risk</t>
  </si>
  <si>
    <t>Beta Logistics Pvt Ltd</t>
  </si>
  <si>
    <t>Logistics</t>
  </si>
  <si>
    <t>Gamma Retail Ltd</t>
  </si>
  <si>
    <t>Retail</t>
  </si>
  <si>
    <t>Delta Foods Pvt Ltd</t>
  </si>
  <si>
    <t>FMCG</t>
  </si>
  <si>
    <t>Omega Textiles Ltd</t>
  </si>
  <si>
    <t>Textiles</t>
  </si>
  <si>
    <t>Prime Engineering Ltd</t>
  </si>
  <si>
    <t>Engineering</t>
  </si>
  <si>
    <t>Horizon Auto Components Ltd</t>
  </si>
  <si>
    <t>Automotive</t>
  </si>
  <si>
    <t>Zenith Chemicals Pvt Ltd</t>
  </si>
  <si>
    <t>Chemicals</t>
  </si>
  <si>
    <t>Nova Energy Ltd</t>
  </si>
  <si>
    <t>Power</t>
  </si>
  <si>
    <t>Vertex Infrastructure Ltd</t>
  </si>
  <si>
    <t>Infrastructure</t>
  </si>
  <si>
    <t>Apex Finance Ltd</t>
  </si>
  <si>
    <t>NBFC</t>
  </si>
  <si>
    <t>Crest Realty Pvt Ltd</t>
  </si>
  <si>
    <t>Real Estate</t>
  </si>
  <si>
    <t>Sigma Steel Industries Ltd</t>
  </si>
  <si>
    <t>Metals</t>
  </si>
  <si>
    <t>Titan Logistics Ltd</t>
  </si>
  <si>
    <t>Meridian Agro Ltd</t>
  </si>
  <si>
    <t>Agriculture</t>
  </si>
  <si>
    <t>Fusion Telecom Pvt Ltd</t>
  </si>
  <si>
    <t>Telecom</t>
  </si>
  <si>
    <t>ABC Infra Ltd</t>
  </si>
  <si>
    <t>High Risk</t>
  </si>
  <si>
    <t>Orion Power Projects Ltd</t>
  </si>
  <si>
    <t>Falcon Realty Ltd</t>
  </si>
  <si>
    <t>Stellar Steel Ltd</t>
  </si>
  <si>
    <t>Atlas Telecom Ltd</t>
  </si>
  <si>
    <t>Everest Aviation Services Ltd</t>
  </si>
  <si>
    <t>Aviation</t>
  </si>
  <si>
    <t>Velocity Shipping Ltd</t>
  </si>
  <si>
    <t>Shipping</t>
  </si>
  <si>
    <t>Nexus Retail Ventures Ltd</t>
  </si>
  <si>
    <t>Titan Energy Ltd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</si>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</sst>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0A22-DECC-4F10-AEAA-779EB741B617}">
  <dimension ref="A1:Q11"/>
  <sheetViews>
    <sheetView workbookViewId="0">
      <selection activeCell="H24" sqref="H24"/>
    </sheetView>
  </sheetViews>
  <sheetFormatPr defaultRowHeight="15" x14ac:dyDescent="0.25"/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x14ac:dyDescent="0.25">
      <c r="A2" s="2" t="s">
        <v>12</v>
      </c>
      <c r="B2" s="2">
        <v>0</v>
      </c>
      <c r="C2" s="2">
        <v>1.8</v>
      </c>
      <c r="D2" s="3">
        <v>0.05</v>
      </c>
      <c r="E2" s="2" t="s">
        <v>8</v>
      </c>
      <c r="F2" s="2" t="s">
        <v>9</v>
      </c>
      <c r="G2">
        <f>IF(B2&gt;30,30,0)+IF(C2&lt;1,25,0)+IF(D2&gt;20%,20,0)+IF(E2="Negative",20,0)+IF(F2="Yes",25,0)</f>
        <v>0</v>
      </c>
      <c r="H2" t="str">
        <f>IF(G2&lt;=30,"Low Risk",IF(G2&lt;=60,"Watchlist","High Risk"))</f>
        <v>Low Risk</v>
      </c>
      <c r="P2" s="2"/>
      <c r="Q2" s="2"/>
    </row>
    <row r="3" spans="1:17" x14ac:dyDescent="0.25">
      <c r="A3" s="2" t="s">
        <v>13</v>
      </c>
      <c r="B3" s="2">
        <v>15</v>
      </c>
      <c r="C3" s="2">
        <v>1.4</v>
      </c>
      <c r="D3" s="3">
        <v>0.1</v>
      </c>
      <c r="E3" s="2" t="s">
        <v>8</v>
      </c>
      <c r="F3" s="2" t="s">
        <v>9</v>
      </c>
      <c r="G3">
        <f t="shared" ref="G3:G11" si="0">IF(B3&gt;30,30,0)+IF(C3&lt;1,25,0)+IF(D3&gt;20%,20,0)+IF(E3="Negative",20,0)+IF(F3="Yes",25,0)</f>
        <v>0</v>
      </c>
      <c r="H3" t="str">
        <f t="shared" ref="H3:H11" si="1">IF(G3&lt;=30,"Low Risk",
IF(G3&lt;=60,"Watchlist",
"High Risk"))</f>
        <v>Low Risk</v>
      </c>
      <c r="P3" s="2"/>
      <c r="Q3" s="2"/>
    </row>
    <row r="4" spans="1:17" x14ac:dyDescent="0.25">
      <c r="A4" s="2" t="s">
        <v>14</v>
      </c>
      <c r="B4" s="2">
        <v>35</v>
      </c>
      <c r="C4" s="2">
        <v>1.3</v>
      </c>
      <c r="D4" s="3">
        <v>0.12</v>
      </c>
      <c r="E4" s="2" t="s">
        <v>8</v>
      </c>
      <c r="F4" s="2" t="s">
        <v>9</v>
      </c>
      <c r="G4">
        <f t="shared" si="0"/>
        <v>30</v>
      </c>
      <c r="H4" t="str">
        <f t="shared" si="1"/>
        <v>Low Risk</v>
      </c>
      <c r="P4" s="2"/>
      <c r="Q4" s="2"/>
    </row>
    <row r="5" spans="1:17" x14ac:dyDescent="0.25">
      <c r="A5" s="2" t="s">
        <v>15</v>
      </c>
      <c r="B5" s="2">
        <v>20</v>
      </c>
      <c r="C5" s="2">
        <v>0.9</v>
      </c>
      <c r="D5" s="3">
        <v>0.18</v>
      </c>
      <c r="E5" s="2" t="s">
        <v>8</v>
      </c>
      <c r="F5" s="2" t="s">
        <v>9</v>
      </c>
      <c r="G5">
        <f t="shared" si="0"/>
        <v>25</v>
      </c>
      <c r="H5" t="str">
        <f t="shared" si="1"/>
        <v>Low Risk</v>
      </c>
      <c r="P5" s="2"/>
      <c r="Q5" s="2"/>
    </row>
    <row r="6" spans="1:17" x14ac:dyDescent="0.25">
      <c r="A6" s="2" t="s">
        <v>16</v>
      </c>
      <c r="B6" s="2">
        <v>10</v>
      </c>
      <c r="C6" s="2">
        <v>1.1000000000000001</v>
      </c>
      <c r="D6" s="3">
        <v>0.25</v>
      </c>
      <c r="E6" s="2" t="s">
        <v>10</v>
      </c>
      <c r="F6" s="2" t="s">
        <v>9</v>
      </c>
      <c r="G6">
        <f t="shared" si="0"/>
        <v>40</v>
      </c>
      <c r="H6" t="str">
        <f t="shared" si="1"/>
        <v>Watchlist</v>
      </c>
      <c r="P6" s="2"/>
      <c r="Q6" s="2"/>
    </row>
    <row r="7" spans="1:17" x14ac:dyDescent="0.25">
      <c r="A7" s="2" t="s">
        <v>17</v>
      </c>
      <c r="B7" s="2">
        <v>45</v>
      </c>
      <c r="C7" s="2">
        <v>0.8</v>
      </c>
      <c r="D7" s="3">
        <v>0.3</v>
      </c>
      <c r="E7" s="2" t="s">
        <v>10</v>
      </c>
      <c r="F7" s="2" t="s">
        <v>9</v>
      </c>
      <c r="G7">
        <f t="shared" si="0"/>
        <v>95</v>
      </c>
      <c r="H7" t="str">
        <f t="shared" si="1"/>
        <v>High Risk</v>
      </c>
      <c r="P7" s="2"/>
      <c r="Q7" s="2"/>
    </row>
    <row r="8" spans="1:17" x14ac:dyDescent="0.25">
      <c r="A8" s="2" t="s">
        <v>18</v>
      </c>
      <c r="B8" s="2">
        <v>0</v>
      </c>
      <c r="C8" s="2">
        <v>0.7</v>
      </c>
      <c r="D8" s="3">
        <v>0.22</v>
      </c>
      <c r="E8" s="2" t="s">
        <v>8</v>
      </c>
      <c r="F8" s="2" t="s">
        <v>11</v>
      </c>
      <c r="G8">
        <f t="shared" si="0"/>
        <v>70</v>
      </c>
      <c r="H8" t="str">
        <f t="shared" si="1"/>
        <v>High Risk</v>
      </c>
      <c r="P8" s="2"/>
      <c r="Q8" s="2"/>
    </row>
    <row r="9" spans="1:17" x14ac:dyDescent="0.25">
      <c r="A9" s="2" t="s">
        <v>19</v>
      </c>
      <c r="B9" s="2">
        <v>25</v>
      </c>
      <c r="C9" s="2">
        <v>1.2</v>
      </c>
      <c r="D9" s="3">
        <v>0.28000000000000003</v>
      </c>
      <c r="E9" s="2" t="s">
        <v>10</v>
      </c>
      <c r="F9" s="2" t="s">
        <v>11</v>
      </c>
      <c r="G9">
        <f t="shared" si="0"/>
        <v>65</v>
      </c>
      <c r="H9" t="str">
        <f t="shared" si="1"/>
        <v>High Risk</v>
      </c>
      <c r="P9" s="2"/>
      <c r="Q9" s="2"/>
    </row>
    <row r="10" spans="1:17" x14ac:dyDescent="0.25">
      <c r="A10" s="2" t="s">
        <v>20</v>
      </c>
      <c r="B10" s="2">
        <v>5</v>
      </c>
      <c r="C10" s="2">
        <v>1.6</v>
      </c>
      <c r="D10" s="3">
        <v>0.08</v>
      </c>
      <c r="E10" s="2" t="s">
        <v>8</v>
      </c>
      <c r="F10" s="2" t="s">
        <v>9</v>
      </c>
      <c r="G10">
        <f t="shared" si="0"/>
        <v>0</v>
      </c>
      <c r="H10" t="str">
        <f t="shared" si="1"/>
        <v>Low Risk</v>
      </c>
      <c r="P10" s="2"/>
      <c r="Q10" s="2"/>
    </row>
    <row r="11" spans="1:17" x14ac:dyDescent="0.25">
      <c r="A11" s="2" t="s">
        <v>21</v>
      </c>
      <c r="B11" s="2">
        <v>32</v>
      </c>
      <c r="C11" s="2">
        <v>0.95</v>
      </c>
      <c r="D11" s="3">
        <v>0.21</v>
      </c>
      <c r="E11" s="2" t="s">
        <v>10</v>
      </c>
      <c r="F11" s="2" t="s">
        <v>11</v>
      </c>
      <c r="G11">
        <f t="shared" si="0"/>
        <v>120</v>
      </c>
      <c r="H11" t="str">
        <f t="shared" si="1"/>
        <v>High Risk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0367-B335-4A62-84AF-DF297712B826}">
  <dimension ref="A1:D9"/>
  <sheetViews>
    <sheetView workbookViewId="0">
      <selection activeCell="H5" sqref="H5"/>
    </sheetView>
  </sheetViews>
  <sheetFormatPr defaultRowHeight="15" x14ac:dyDescent="0.25"/>
  <cols>
    <col min="2" max="2" width="14.7109375" customWidth="1"/>
    <col min="3" max="3" width="17.5703125" customWidth="1"/>
    <col min="4" max="4" width="15.140625" customWidth="1"/>
  </cols>
  <sheetData>
    <row r="1" spans="1:4" ht="30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ht="30" x14ac:dyDescent="0.25">
      <c r="A2" s="2" t="s">
        <v>26</v>
      </c>
      <c r="B2" s="2" t="s">
        <v>27</v>
      </c>
      <c r="C2" s="2">
        <v>15</v>
      </c>
      <c r="D2" s="2" t="s">
        <v>28</v>
      </c>
    </row>
    <row r="3" spans="1:4" x14ac:dyDescent="0.25">
      <c r="A3" s="2" t="s">
        <v>29</v>
      </c>
      <c r="B3" s="2" t="s">
        <v>30</v>
      </c>
      <c r="C3" s="2">
        <v>30</v>
      </c>
      <c r="D3" s="2" t="s">
        <v>31</v>
      </c>
    </row>
    <row r="4" spans="1:4" ht="30" x14ac:dyDescent="0.25">
      <c r="A4" s="2" t="s">
        <v>32</v>
      </c>
      <c r="B4" s="2" t="s">
        <v>33</v>
      </c>
      <c r="C4" s="2">
        <v>50</v>
      </c>
      <c r="D4" s="2" t="s">
        <v>34</v>
      </c>
    </row>
    <row r="5" spans="1:4" ht="30" x14ac:dyDescent="0.25">
      <c r="A5" s="2" t="s">
        <v>35</v>
      </c>
      <c r="B5" s="2" t="s">
        <v>27</v>
      </c>
      <c r="C5" s="2">
        <v>10</v>
      </c>
      <c r="D5" s="2" t="s">
        <v>36</v>
      </c>
    </row>
    <row r="6" spans="1:4" ht="30" x14ac:dyDescent="0.25">
      <c r="A6" s="2" t="s">
        <v>37</v>
      </c>
      <c r="B6" s="2" t="s">
        <v>30</v>
      </c>
      <c r="C6" s="2">
        <v>25</v>
      </c>
      <c r="D6" s="2" t="s">
        <v>38</v>
      </c>
    </row>
    <row r="7" spans="1:4" ht="45" x14ac:dyDescent="0.25">
      <c r="A7" s="2" t="s">
        <v>39</v>
      </c>
      <c r="B7" s="2" t="s">
        <v>30</v>
      </c>
      <c r="C7" s="2">
        <v>20</v>
      </c>
      <c r="D7" s="2" t="s">
        <v>40</v>
      </c>
    </row>
    <row r="8" spans="1:4" ht="45" x14ac:dyDescent="0.25">
      <c r="A8" s="2" t="s">
        <v>41</v>
      </c>
      <c r="B8" s="2" t="s">
        <v>30</v>
      </c>
      <c r="C8" s="2">
        <v>25</v>
      </c>
      <c r="D8" s="2" t="s">
        <v>31</v>
      </c>
    </row>
    <row r="9" spans="1:4" ht="30" x14ac:dyDescent="0.25">
      <c r="A9" s="2" t="s">
        <v>42</v>
      </c>
      <c r="B9" s="2" t="s">
        <v>33</v>
      </c>
      <c r="C9" s="2">
        <v>50</v>
      </c>
      <c r="D9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E651-84FB-43D2-9D67-93BFE7BE4213}">
  <dimension ref="A1:J26"/>
  <sheetViews>
    <sheetView tabSelected="1" workbookViewId="0">
      <selection activeCell="S8" sqref="S8"/>
    </sheetView>
  </sheetViews>
  <sheetFormatPr defaultRowHeight="15" x14ac:dyDescent="0.25"/>
  <sheetData>
    <row r="1" spans="1:10" ht="45" x14ac:dyDescent="0.25">
      <c r="A1" s="1" t="s">
        <v>0</v>
      </c>
      <c r="B1" s="1" t="s">
        <v>43</v>
      </c>
      <c r="C1" s="5" t="s">
        <v>44</v>
      </c>
      <c r="D1" s="5" t="s">
        <v>1</v>
      </c>
      <c r="E1" s="5" t="s">
        <v>2</v>
      </c>
      <c r="F1" s="5" t="s">
        <v>3</v>
      </c>
      <c r="G1" s="1" t="s">
        <v>4</v>
      </c>
      <c r="H1" s="1" t="s">
        <v>5</v>
      </c>
      <c r="I1" s="5" t="s">
        <v>45</v>
      </c>
      <c r="J1" s="1" t="s">
        <v>7</v>
      </c>
    </row>
    <row r="2" spans="1:10" ht="60" x14ac:dyDescent="0.25">
      <c r="A2" s="2" t="s">
        <v>46</v>
      </c>
      <c r="B2" s="2" t="s">
        <v>47</v>
      </c>
      <c r="C2" s="4">
        <v>18</v>
      </c>
      <c r="D2" s="4">
        <v>0</v>
      </c>
      <c r="E2" s="4">
        <v>2.1</v>
      </c>
      <c r="F2" s="4">
        <v>3</v>
      </c>
      <c r="G2" s="2" t="s">
        <v>8</v>
      </c>
      <c r="H2" s="2" t="s">
        <v>9</v>
      </c>
      <c r="I2" s="4">
        <v>5</v>
      </c>
      <c r="J2" s="2" t="s">
        <v>48</v>
      </c>
    </row>
    <row r="3" spans="1:10" ht="45" x14ac:dyDescent="0.25">
      <c r="A3" s="2" t="s">
        <v>49</v>
      </c>
      <c r="B3" s="2" t="s">
        <v>50</v>
      </c>
      <c r="C3" s="4">
        <v>22</v>
      </c>
      <c r="D3" s="4">
        <v>2</v>
      </c>
      <c r="E3" s="4">
        <v>1.95</v>
      </c>
      <c r="F3" s="4">
        <v>5</v>
      </c>
      <c r="G3" s="2" t="s">
        <v>8</v>
      </c>
      <c r="H3" s="2" t="s">
        <v>9</v>
      </c>
      <c r="I3" s="4">
        <v>8</v>
      </c>
      <c r="J3" s="2" t="s">
        <v>48</v>
      </c>
    </row>
    <row r="4" spans="1:10" ht="45" x14ac:dyDescent="0.25">
      <c r="A4" s="2" t="s">
        <v>51</v>
      </c>
      <c r="B4" s="2" t="s">
        <v>52</v>
      </c>
      <c r="C4" s="4">
        <v>15</v>
      </c>
      <c r="D4" s="4">
        <v>0</v>
      </c>
      <c r="E4" s="4">
        <v>1.8</v>
      </c>
      <c r="F4" s="4">
        <v>7</v>
      </c>
      <c r="G4" s="2" t="s">
        <v>8</v>
      </c>
      <c r="H4" s="2" t="s">
        <v>9</v>
      </c>
      <c r="I4" s="4">
        <v>10</v>
      </c>
      <c r="J4" s="2" t="s">
        <v>48</v>
      </c>
    </row>
    <row r="5" spans="1:10" ht="45" x14ac:dyDescent="0.25">
      <c r="A5" s="2" t="s">
        <v>53</v>
      </c>
      <c r="B5" s="2" t="s">
        <v>54</v>
      </c>
      <c r="C5" s="4">
        <v>30</v>
      </c>
      <c r="D5" s="4">
        <v>1</v>
      </c>
      <c r="E5" s="4">
        <v>2.2999999999999998</v>
      </c>
      <c r="F5" s="4">
        <v>2</v>
      </c>
      <c r="G5" s="2" t="s">
        <v>8</v>
      </c>
      <c r="H5" s="2" t="s">
        <v>9</v>
      </c>
      <c r="I5" s="4">
        <v>3</v>
      </c>
      <c r="J5" s="2" t="s">
        <v>48</v>
      </c>
    </row>
    <row r="6" spans="1:10" ht="45" x14ac:dyDescent="0.25">
      <c r="A6" s="2" t="s">
        <v>55</v>
      </c>
      <c r="B6" s="2" t="s">
        <v>56</v>
      </c>
      <c r="C6" s="4">
        <v>12</v>
      </c>
      <c r="D6" s="4">
        <v>4</v>
      </c>
      <c r="E6" s="4">
        <v>1.7</v>
      </c>
      <c r="F6" s="4">
        <v>8</v>
      </c>
      <c r="G6" s="2" t="s">
        <v>8</v>
      </c>
      <c r="H6" s="2" t="s">
        <v>9</v>
      </c>
      <c r="I6" s="4">
        <v>12</v>
      </c>
      <c r="J6" s="2" t="s">
        <v>48</v>
      </c>
    </row>
    <row r="7" spans="1:10" ht="45" x14ac:dyDescent="0.25">
      <c r="A7" s="2" t="s">
        <v>57</v>
      </c>
      <c r="B7" s="2" t="s">
        <v>58</v>
      </c>
      <c r="C7" s="4">
        <v>25</v>
      </c>
      <c r="D7" s="4">
        <v>0</v>
      </c>
      <c r="E7" s="4">
        <v>2</v>
      </c>
      <c r="F7" s="4">
        <v>4</v>
      </c>
      <c r="G7" s="2" t="s">
        <v>8</v>
      </c>
      <c r="H7" s="2" t="s">
        <v>9</v>
      </c>
      <c r="I7" s="4">
        <v>6</v>
      </c>
      <c r="J7" s="2" t="s">
        <v>48</v>
      </c>
    </row>
    <row r="8" spans="1:10" ht="60" x14ac:dyDescent="0.25">
      <c r="A8" s="2" t="s">
        <v>59</v>
      </c>
      <c r="B8" s="2" t="s">
        <v>60</v>
      </c>
      <c r="C8" s="4">
        <v>35</v>
      </c>
      <c r="D8" s="4">
        <v>3</v>
      </c>
      <c r="E8" s="4">
        <v>1.85</v>
      </c>
      <c r="F8" s="4">
        <v>6</v>
      </c>
      <c r="G8" s="2" t="s">
        <v>8</v>
      </c>
      <c r="H8" s="2" t="s">
        <v>9</v>
      </c>
      <c r="I8" s="4">
        <v>9</v>
      </c>
      <c r="J8" s="2" t="s">
        <v>48</v>
      </c>
    </row>
    <row r="9" spans="1:10" ht="45" x14ac:dyDescent="0.25">
      <c r="A9" s="2" t="s">
        <v>61</v>
      </c>
      <c r="B9" s="2" t="s">
        <v>62</v>
      </c>
      <c r="C9" s="4">
        <v>28</v>
      </c>
      <c r="D9" s="4">
        <v>0</v>
      </c>
      <c r="E9" s="4">
        <v>2.2000000000000002</v>
      </c>
      <c r="F9" s="4">
        <v>3</v>
      </c>
      <c r="G9" s="2" t="s">
        <v>8</v>
      </c>
      <c r="H9" s="2" t="s">
        <v>9</v>
      </c>
      <c r="I9" s="4">
        <v>4</v>
      </c>
      <c r="J9" s="2" t="s">
        <v>48</v>
      </c>
    </row>
    <row r="10" spans="1:10" ht="45" x14ac:dyDescent="0.25">
      <c r="A10" s="2" t="s">
        <v>63</v>
      </c>
      <c r="B10" s="2" t="s">
        <v>64</v>
      </c>
      <c r="C10" s="4">
        <v>42</v>
      </c>
      <c r="D10" s="4">
        <v>15</v>
      </c>
      <c r="E10" s="4">
        <v>1.25</v>
      </c>
      <c r="F10" s="4">
        <v>12</v>
      </c>
      <c r="G10" s="2" t="s">
        <v>8</v>
      </c>
      <c r="H10" s="2" t="s">
        <v>9</v>
      </c>
      <c r="I10" s="4">
        <v>35</v>
      </c>
      <c r="J10" s="2" t="s">
        <v>38</v>
      </c>
    </row>
    <row r="11" spans="1:10" ht="45" x14ac:dyDescent="0.25">
      <c r="A11" s="2" t="s">
        <v>65</v>
      </c>
      <c r="B11" s="2" t="s">
        <v>66</v>
      </c>
      <c r="C11" s="4">
        <v>55</v>
      </c>
      <c r="D11" s="4">
        <v>20</v>
      </c>
      <c r="E11" s="4">
        <v>1.1000000000000001</v>
      </c>
      <c r="F11" s="4">
        <v>15</v>
      </c>
      <c r="G11" s="2" t="s">
        <v>8</v>
      </c>
      <c r="H11" s="2" t="s">
        <v>9</v>
      </c>
      <c r="I11" s="4">
        <v>45</v>
      </c>
      <c r="J11" s="2" t="s">
        <v>38</v>
      </c>
    </row>
    <row r="12" spans="1:10" ht="45" x14ac:dyDescent="0.25">
      <c r="A12" s="2" t="s">
        <v>67</v>
      </c>
      <c r="B12" s="2" t="s">
        <v>68</v>
      </c>
      <c r="C12" s="4">
        <v>38</v>
      </c>
      <c r="D12" s="4">
        <v>12</v>
      </c>
      <c r="E12" s="4">
        <v>1.2</v>
      </c>
      <c r="F12" s="4">
        <v>14</v>
      </c>
      <c r="G12" s="2" t="s">
        <v>8</v>
      </c>
      <c r="H12" s="2" t="s">
        <v>9</v>
      </c>
      <c r="I12" s="4">
        <v>38</v>
      </c>
      <c r="J12" s="2" t="s">
        <v>38</v>
      </c>
    </row>
    <row r="13" spans="1:10" ht="45" x14ac:dyDescent="0.25">
      <c r="A13" s="2" t="s">
        <v>69</v>
      </c>
      <c r="B13" s="2" t="s">
        <v>70</v>
      </c>
      <c r="C13" s="4">
        <v>48</v>
      </c>
      <c r="D13" s="4">
        <v>25</v>
      </c>
      <c r="E13" s="4">
        <v>1.05</v>
      </c>
      <c r="F13" s="4">
        <v>18</v>
      </c>
      <c r="G13" s="2" t="s">
        <v>10</v>
      </c>
      <c r="H13" s="2" t="s">
        <v>9</v>
      </c>
      <c r="I13" s="4">
        <v>55</v>
      </c>
      <c r="J13" s="2" t="s">
        <v>38</v>
      </c>
    </row>
    <row r="14" spans="1:10" ht="60" x14ac:dyDescent="0.25">
      <c r="A14" s="2" t="s">
        <v>71</v>
      </c>
      <c r="B14" s="2" t="s">
        <v>72</v>
      </c>
      <c r="C14" s="4">
        <v>40</v>
      </c>
      <c r="D14" s="4">
        <v>18</v>
      </c>
      <c r="E14" s="4">
        <v>1.1499999999999999</v>
      </c>
      <c r="F14" s="4">
        <v>17</v>
      </c>
      <c r="G14" s="2" t="s">
        <v>8</v>
      </c>
      <c r="H14" s="2" t="s">
        <v>9</v>
      </c>
      <c r="I14" s="4">
        <v>42</v>
      </c>
      <c r="J14" s="2" t="s">
        <v>38</v>
      </c>
    </row>
    <row r="15" spans="1:10" ht="45" x14ac:dyDescent="0.25">
      <c r="A15" s="2" t="s">
        <v>73</v>
      </c>
      <c r="B15" s="2" t="s">
        <v>50</v>
      </c>
      <c r="C15" s="4">
        <v>32</v>
      </c>
      <c r="D15" s="4">
        <v>22</v>
      </c>
      <c r="E15" s="4">
        <v>1.08</v>
      </c>
      <c r="F15" s="4">
        <v>19</v>
      </c>
      <c r="G15" s="2" t="s">
        <v>10</v>
      </c>
      <c r="H15" s="2" t="s">
        <v>9</v>
      </c>
      <c r="I15" s="4">
        <v>52</v>
      </c>
      <c r="J15" s="2" t="s">
        <v>38</v>
      </c>
    </row>
    <row r="16" spans="1:10" ht="30" x14ac:dyDescent="0.25">
      <c r="A16" s="2" t="s">
        <v>74</v>
      </c>
      <c r="B16" s="2" t="s">
        <v>75</v>
      </c>
      <c r="C16" s="4">
        <v>20</v>
      </c>
      <c r="D16" s="4">
        <v>10</v>
      </c>
      <c r="E16" s="4">
        <v>1.3</v>
      </c>
      <c r="F16" s="4">
        <v>11</v>
      </c>
      <c r="G16" s="2" t="s">
        <v>8</v>
      </c>
      <c r="H16" s="2" t="s">
        <v>9</v>
      </c>
      <c r="I16" s="4">
        <v>30</v>
      </c>
      <c r="J16" s="2" t="s">
        <v>38</v>
      </c>
    </row>
    <row r="17" spans="1:10" ht="45" x14ac:dyDescent="0.25">
      <c r="A17" s="2" t="s">
        <v>76</v>
      </c>
      <c r="B17" s="2" t="s">
        <v>77</v>
      </c>
      <c r="C17" s="4">
        <v>45</v>
      </c>
      <c r="D17" s="4">
        <v>28</v>
      </c>
      <c r="E17" s="4">
        <v>1</v>
      </c>
      <c r="F17" s="4">
        <v>20</v>
      </c>
      <c r="G17" s="2" t="s">
        <v>10</v>
      </c>
      <c r="H17" s="2" t="s">
        <v>11</v>
      </c>
      <c r="I17" s="4">
        <v>65</v>
      </c>
      <c r="J17" s="2" t="s">
        <v>38</v>
      </c>
    </row>
    <row r="18" spans="1:10" ht="30" x14ac:dyDescent="0.25">
      <c r="A18" s="2" t="s">
        <v>78</v>
      </c>
      <c r="B18" s="2" t="s">
        <v>66</v>
      </c>
      <c r="C18" s="4">
        <v>75</v>
      </c>
      <c r="D18" s="4">
        <v>45</v>
      </c>
      <c r="E18" s="4">
        <v>0.85</v>
      </c>
      <c r="F18" s="4">
        <v>28</v>
      </c>
      <c r="G18" s="2" t="s">
        <v>10</v>
      </c>
      <c r="H18" s="2" t="s">
        <v>9</v>
      </c>
      <c r="I18" s="4">
        <v>95</v>
      </c>
      <c r="J18" s="2" t="s">
        <v>79</v>
      </c>
    </row>
    <row r="19" spans="1:10" ht="60" x14ac:dyDescent="0.25">
      <c r="A19" s="2" t="s">
        <v>80</v>
      </c>
      <c r="B19" s="2" t="s">
        <v>64</v>
      </c>
      <c r="C19" s="4">
        <v>82</v>
      </c>
      <c r="D19" s="4">
        <v>60</v>
      </c>
      <c r="E19" s="4">
        <v>0.7</v>
      </c>
      <c r="F19" s="4">
        <v>35</v>
      </c>
      <c r="G19" s="2" t="s">
        <v>10</v>
      </c>
      <c r="H19" s="2" t="s">
        <v>11</v>
      </c>
      <c r="I19" s="4">
        <v>120</v>
      </c>
      <c r="J19" s="2" t="s">
        <v>79</v>
      </c>
    </row>
    <row r="20" spans="1:10" ht="45" x14ac:dyDescent="0.25">
      <c r="A20" s="2" t="s">
        <v>81</v>
      </c>
      <c r="B20" s="2" t="s">
        <v>70</v>
      </c>
      <c r="C20" s="4">
        <v>68</v>
      </c>
      <c r="D20" s="4">
        <v>55</v>
      </c>
      <c r="E20" s="4">
        <v>0.9</v>
      </c>
      <c r="F20" s="4">
        <v>30</v>
      </c>
      <c r="G20" s="2" t="s">
        <v>10</v>
      </c>
      <c r="H20" s="2" t="s">
        <v>11</v>
      </c>
      <c r="I20" s="4">
        <v>105</v>
      </c>
      <c r="J20" s="2" t="s">
        <v>79</v>
      </c>
    </row>
    <row r="21" spans="1:10" ht="30" x14ac:dyDescent="0.25">
      <c r="A21" s="2" t="s">
        <v>82</v>
      </c>
      <c r="B21" s="2" t="s">
        <v>72</v>
      </c>
      <c r="C21" s="4">
        <v>58</v>
      </c>
      <c r="D21" s="4">
        <v>40</v>
      </c>
      <c r="E21" s="4">
        <v>0.95</v>
      </c>
      <c r="F21" s="4">
        <v>25</v>
      </c>
      <c r="G21" s="2" t="s">
        <v>10</v>
      </c>
      <c r="H21" s="2" t="s">
        <v>9</v>
      </c>
      <c r="I21" s="4">
        <v>85</v>
      </c>
      <c r="J21" s="2" t="s">
        <v>79</v>
      </c>
    </row>
    <row r="22" spans="1:10" ht="45" x14ac:dyDescent="0.25">
      <c r="A22" s="2" t="s">
        <v>83</v>
      </c>
      <c r="B22" s="2" t="s">
        <v>77</v>
      </c>
      <c r="C22" s="4">
        <v>52</v>
      </c>
      <c r="D22" s="4">
        <v>65</v>
      </c>
      <c r="E22" s="4">
        <v>0.75</v>
      </c>
      <c r="F22" s="4">
        <v>40</v>
      </c>
      <c r="G22" s="2" t="s">
        <v>10</v>
      </c>
      <c r="H22" s="2" t="s">
        <v>11</v>
      </c>
      <c r="I22" s="4">
        <v>125</v>
      </c>
      <c r="J22" s="2" t="s">
        <v>79</v>
      </c>
    </row>
    <row r="23" spans="1:10" ht="60" x14ac:dyDescent="0.25">
      <c r="A23" s="2" t="s">
        <v>84</v>
      </c>
      <c r="B23" s="2" t="s">
        <v>85</v>
      </c>
      <c r="C23" s="4">
        <v>47</v>
      </c>
      <c r="D23" s="4">
        <v>50</v>
      </c>
      <c r="E23" s="4">
        <v>0.8</v>
      </c>
      <c r="F23" s="4">
        <v>32</v>
      </c>
      <c r="G23" s="2" t="s">
        <v>10</v>
      </c>
      <c r="H23" s="2" t="s">
        <v>11</v>
      </c>
      <c r="I23" s="4">
        <v>110</v>
      </c>
      <c r="J23" s="2" t="s">
        <v>79</v>
      </c>
    </row>
    <row r="24" spans="1:10" ht="45" x14ac:dyDescent="0.25">
      <c r="A24" s="2" t="s">
        <v>86</v>
      </c>
      <c r="B24" s="2" t="s">
        <v>87</v>
      </c>
      <c r="C24" s="4">
        <v>43</v>
      </c>
      <c r="D24" s="4">
        <v>35</v>
      </c>
      <c r="E24" s="4">
        <v>0.92</v>
      </c>
      <c r="F24" s="4">
        <v>24</v>
      </c>
      <c r="G24" s="2" t="s">
        <v>10</v>
      </c>
      <c r="H24" s="2" t="s">
        <v>9</v>
      </c>
      <c r="I24" s="4">
        <v>80</v>
      </c>
      <c r="J24" s="2" t="s">
        <v>79</v>
      </c>
    </row>
    <row r="25" spans="1:10" ht="60" x14ac:dyDescent="0.25">
      <c r="A25" s="2" t="s">
        <v>88</v>
      </c>
      <c r="B25" s="2" t="s">
        <v>52</v>
      </c>
      <c r="C25" s="4">
        <v>38</v>
      </c>
      <c r="D25" s="4">
        <v>70</v>
      </c>
      <c r="E25" s="4">
        <v>0.65</v>
      </c>
      <c r="F25" s="4">
        <v>45</v>
      </c>
      <c r="G25" s="2" t="s">
        <v>10</v>
      </c>
      <c r="H25" s="2" t="s">
        <v>11</v>
      </c>
      <c r="I25" s="4">
        <v>135</v>
      </c>
      <c r="J25" s="2" t="s">
        <v>79</v>
      </c>
    </row>
    <row r="26" spans="1:10" ht="45" x14ac:dyDescent="0.25">
      <c r="A26" s="2" t="s">
        <v>89</v>
      </c>
      <c r="B26" s="2" t="s">
        <v>90</v>
      </c>
      <c r="C26" s="4">
        <v>88</v>
      </c>
      <c r="D26" s="4">
        <v>90</v>
      </c>
      <c r="E26" s="4">
        <v>0.6</v>
      </c>
      <c r="F26" s="4">
        <v>50</v>
      </c>
      <c r="G26" s="2" t="s">
        <v>10</v>
      </c>
      <c r="H26" s="2" t="s">
        <v>11</v>
      </c>
      <c r="I26" s="4">
        <v>150</v>
      </c>
      <c r="J26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ECM</dc:creator>
  <cp:lastModifiedBy>willy fernandes</cp:lastModifiedBy>
  <dcterms:created xsi:type="dcterms:W3CDTF">2026-05-20T06:53:11Z</dcterms:created>
  <dcterms:modified xsi:type="dcterms:W3CDTF">2026-06-03T17:24:56Z</dcterms:modified>
</cp:coreProperties>
</file>