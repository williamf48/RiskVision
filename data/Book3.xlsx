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illiam\Documents\Risk Software\"/>
    </mc:Choice>
  </mc:AlternateContent>
  <xr:revisionPtr revIDLastSave="0" documentId="13_ncr:1_{A7E68584-2E8B-45CB-BAE5-A339107CE538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I6" i="1"/>
  <c r="J6" i="1"/>
  <c r="I7" i="1"/>
  <c r="J7" i="1"/>
  <c r="I8" i="1"/>
  <c r="I9" i="1"/>
  <c r="J9" i="1"/>
  <c r="I10" i="1"/>
  <c r="J10" i="1"/>
  <c r="I11" i="1"/>
  <c r="I12" i="1"/>
  <c r="J12" i="1"/>
  <c r="I13" i="1"/>
  <c r="J13" i="1"/>
  <c r="I14" i="1"/>
  <c r="I15" i="1"/>
  <c r="J15" i="1"/>
  <c r="I16" i="1"/>
  <c r="J16" i="1"/>
  <c r="I17" i="1"/>
  <c r="J17" i="1"/>
  <c r="I18" i="1"/>
  <c r="J18" i="1"/>
  <c r="I19" i="1"/>
  <c r="I20" i="1"/>
  <c r="I21" i="1"/>
  <c r="I22" i="1"/>
  <c r="I23" i="1"/>
  <c r="J23" i="1"/>
  <c r="I24" i="1"/>
  <c r="I25" i="1"/>
  <c r="I26" i="1"/>
  <c r="I2" i="1"/>
  <c r="J5" i="1" l="1"/>
  <c r="J8" i="1"/>
  <c r="J24" i="1"/>
  <c r="J25" i="1"/>
  <c r="J11" i="1"/>
  <c r="J26" i="1"/>
  <c r="J14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<sst xmlns="http://schemas.openxmlformats.org/spreadsheetml/2006/main" count="110" uniqueCount="57">
  <si>
    <t>Borrower</t>
  </si>
  <si>
    <t>Sector</t>
  </si>
  <si>
    <t>Exposure (Cr)</t>
  </si>
  <si>
    <t>DPD</t>
  </si>
  <si>
    <t>DSCR</t>
  </si>
  <si>
    <t>Revenue Decline %</t>
  </si>
  <si>
    <t>Cash Flow</t>
  </si>
  <si>
    <t>Restructured</t>
  </si>
  <si>
    <t>Risk Score</t>
  </si>
  <si>
    <t>Risk Class</t>
  </si>
  <si>
    <t>Alpha Manufacturing Ltd</t>
  </si>
  <si>
    <t>Manufacturing</t>
  </si>
  <si>
    <t>Positive</t>
  </si>
  <si>
    <t>No</t>
  </si>
  <si>
    <t>Beta Logistics Pvt Ltd</t>
  </si>
  <si>
    <t>Logistics</t>
  </si>
  <si>
    <t>Gamma Retail Ltd</t>
  </si>
  <si>
    <t>Retail</t>
  </si>
  <si>
    <t>Delta Foods Pvt Ltd</t>
  </si>
  <si>
    <t>FMCG</t>
  </si>
  <si>
    <t>Omega Textiles Ltd</t>
  </si>
  <si>
    <t>Textiles</t>
  </si>
  <si>
    <t>Prime Engineering Ltd</t>
  </si>
  <si>
    <t>Engineering</t>
  </si>
  <si>
    <t>Horizon Auto Components Ltd</t>
  </si>
  <si>
    <t>Automotive</t>
  </si>
  <si>
    <t>Zenith Chemicals Pvt Ltd</t>
  </si>
  <si>
    <t>Chemicals</t>
  </si>
  <si>
    <t>Nova Energy Ltd</t>
  </si>
  <si>
    <t>Power</t>
  </si>
  <si>
    <t>Vertex Infrastructure Ltd</t>
  </si>
  <si>
    <t>Infrastructure</t>
  </si>
  <si>
    <t>Apex Finance Ltd</t>
  </si>
  <si>
    <t>NBFC</t>
  </si>
  <si>
    <t>Crest Realty Pvt Ltd</t>
  </si>
  <si>
    <t>Real Estate</t>
  </si>
  <si>
    <t>Negative</t>
  </si>
  <si>
    <t>Sigma Steel Industries Ltd</t>
  </si>
  <si>
    <t>Metals</t>
  </si>
  <si>
    <t>Titan Logistics Ltd</t>
  </si>
  <si>
    <t>Meridian Agro Ltd</t>
  </si>
  <si>
    <t>Agriculture</t>
  </si>
  <si>
    <t>Fusion Telecom Pvt Ltd</t>
  </si>
  <si>
    <t>Telecom</t>
  </si>
  <si>
    <t>Yes</t>
  </si>
  <si>
    <t>ABC Infra Ltd</t>
  </si>
  <si>
    <t>Orion Power Projects Ltd</t>
  </si>
  <si>
    <t>Falcon Realty Ltd</t>
  </si>
  <si>
    <t>Stellar Steel Ltd</t>
  </si>
  <si>
    <t>Atlas Telecom Ltd</t>
  </si>
  <si>
    <t>Everest Aviation Services Ltd</t>
  </si>
  <si>
    <t>Aviation</t>
  </si>
  <si>
    <t>Velocity Shipping Ltd</t>
  </si>
  <si>
    <t>Shipping</t>
  </si>
  <si>
    <t>Nexus Retail Ventures Ltd</t>
  </si>
  <si>
    <t>Titan Energy Ltd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</si>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</sst>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L24" sqref="L24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ht="60" x14ac:dyDescent="0.25">
      <c r="A2" s="3" t="s">
        <v>10</v>
      </c>
      <c r="B2" s="3" t="s">
        <v>11</v>
      </c>
      <c r="C2" s="4">
        <v>18</v>
      </c>
      <c r="D2" s="4">
        <v>0</v>
      </c>
      <c r="E2" s="4">
        <v>2.1</v>
      </c>
      <c r="F2" s="4">
        <v>3</v>
      </c>
      <c r="G2" s="3" t="s">
        <v>12</v>
      </c>
      <c r="H2" s="3" t="s">
        <v>13</v>
      </c>
      <c r="I2">
        <f>IF(D2&gt;30,30,0)+IF(E2&lt;1,25,0)+IF(F2&gt;20%,20,0)+IF(G2="Negative",20,0)+IF(H2="Yes",25,0)</f>
        <v>20</v>
      </c>
      <c r="J2" t="str">
        <f>IF(I2&lt;=30,"Low Risk",IF(I2&lt;=60,"Watchlist","High Risk"))</f>
        <v>Low Risk</v>
      </c>
    </row>
    <row r="3" spans="1:10" ht="45" x14ac:dyDescent="0.25">
      <c r="A3" s="3" t="s">
        <v>14</v>
      </c>
      <c r="B3" s="3" t="s">
        <v>15</v>
      </c>
      <c r="C3" s="4">
        <v>22</v>
      </c>
      <c r="D3" s="4">
        <v>2</v>
      </c>
      <c r="E3" s="4">
        <v>1.95</v>
      </c>
      <c r="F3" s="4">
        <v>5</v>
      </c>
      <c r="G3" s="3" t="s">
        <v>12</v>
      </c>
      <c r="H3" s="3" t="s">
        <v>13</v>
      </c>
      <c r="I3">
        <f t="shared" ref="I3:I26" si="0">IF(D3&gt;30,30,0)+IF(E3&lt;1,25,0)+IF(F3&gt;20%,20,0)+IF(G3="Negative",20,0)+IF(H3="Yes",25,0)</f>
        <v>20</v>
      </c>
      <c r="J3" t="str">
        <f t="shared" ref="J3:J26" si="1">IF(I3&lt;=30,"Low Risk",IF(I3&lt;=60,"Watchlist","High Risk"))</f>
        <v>Low Risk</v>
      </c>
    </row>
    <row r="4" spans="1:10" ht="45" x14ac:dyDescent="0.25">
      <c r="A4" s="3" t="s">
        <v>16</v>
      </c>
      <c r="B4" s="3" t="s">
        <v>17</v>
      </c>
      <c r="C4" s="4">
        <v>15</v>
      </c>
      <c r="D4" s="4">
        <v>0</v>
      </c>
      <c r="E4" s="4">
        <v>1.8</v>
      </c>
      <c r="F4" s="4">
        <v>7</v>
      </c>
      <c r="G4" s="3" t="s">
        <v>12</v>
      </c>
      <c r="H4" s="3" t="s">
        <v>13</v>
      </c>
      <c r="I4">
        <f t="shared" si="0"/>
        <v>20</v>
      </c>
      <c r="J4" t="str">
        <f t="shared" si="1"/>
        <v>Low Risk</v>
      </c>
    </row>
    <row r="5" spans="1:10" ht="45" x14ac:dyDescent="0.25">
      <c r="A5" s="3" t="s">
        <v>18</v>
      </c>
      <c r="B5" s="3" t="s">
        <v>19</v>
      </c>
      <c r="C5" s="4">
        <v>30</v>
      </c>
      <c r="D5" s="4">
        <v>1</v>
      </c>
      <c r="E5" s="4">
        <v>2.2999999999999998</v>
      </c>
      <c r="F5" s="4">
        <v>2</v>
      </c>
      <c r="G5" s="3" t="s">
        <v>12</v>
      </c>
      <c r="H5" s="3" t="s">
        <v>13</v>
      </c>
      <c r="I5">
        <f t="shared" si="0"/>
        <v>20</v>
      </c>
      <c r="J5" t="str">
        <f t="shared" si="1"/>
        <v>Low Risk</v>
      </c>
    </row>
    <row r="6" spans="1:10" ht="45" x14ac:dyDescent="0.25">
      <c r="A6" s="3" t="s">
        <v>20</v>
      </c>
      <c r="B6" s="3" t="s">
        <v>21</v>
      </c>
      <c r="C6" s="4">
        <v>12</v>
      </c>
      <c r="D6" s="4">
        <v>4</v>
      </c>
      <c r="E6" s="4">
        <v>1.7</v>
      </c>
      <c r="F6" s="4">
        <v>8</v>
      </c>
      <c r="G6" s="3" t="s">
        <v>12</v>
      </c>
      <c r="H6" s="3" t="s">
        <v>13</v>
      </c>
      <c r="I6">
        <f t="shared" si="0"/>
        <v>20</v>
      </c>
      <c r="J6" t="str">
        <f t="shared" si="1"/>
        <v>Low Risk</v>
      </c>
    </row>
    <row r="7" spans="1:10" ht="45" x14ac:dyDescent="0.25">
      <c r="A7" s="3" t="s">
        <v>22</v>
      </c>
      <c r="B7" s="3" t="s">
        <v>23</v>
      </c>
      <c r="C7" s="4">
        <v>25</v>
      </c>
      <c r="D7" s="4">
        <v>0</v>
      </c>
      <c r="E7" s="4">
        <v>2</v>
      </c>
      <c r="F7" s="4">
        <v>4</v>
      </c>
      <c r="G7" s="3" t="s">
        <v>12</v>
      </c>
      <c r="H7" s="3" t="s">
        <v>13</v>
      </c>
      <c r="I7">
        <f t="shared" si="0"/>
        <v>20</v>
      </c>
      <c r="J7" t="str">
        <f t="shared" si="1"/>
        <v>Low Risk</v>
      </c>
    </row>
    <row r="8" spans="1:10" ht="60" x14ac:dyDescent="0.25">
      <c r="A8" s="3" t="s">
        <v>24</v>
      </c>
      <c r="B8" s="3" t="s">
        <v>25</v>
      </c>
      <c r="C8" s="4">
        <v>35</v>
      </c>
      <c r="D8" s="4">
        <v>3</v>
      </c>
      <c r="E8" s="4">
        <v>1.85</v>
      </c>
      <c r="F8" s="4">
        <v>6</v>
      </c>
      <c r="G8" s="3" t="s">
        <v>12</v>
      </c>
      <c r="H8" s="3" t="s">
        <v>13</v>
      </c>
      <c r="I8">
        <f t="shared" si="0"/>
        <v>20</v>
      </c>
      <c r="J8" t="str">
        <f t="shared" si="1"/>
        <v>Low Risk</v>
      </c>
    </row>
    <row r="9" spans="1:10" ht="45" x14ac:dyDescent="0.25">
      <c r="A9" s="3" t="s">
        <v>26</v>
      </c>
      <c r="B9" s="3" t="s">
        <v>27</v>
      </c>
      <c r="C9" s="4">
        <v>28</v>
      </c>
      <c r="D9" s="4">
        <v>0</v>
      </c>
      <c r="E9" s="4">
        <v>2.2000000000000002</v>
      </c>
      <c r="F9" s="4">
        <v>3</v>
      </c>
      <c r="G9" s="3" t="s">
        <v>12</v>
      </c>
      <c r="H9" s="3" t="s">
        <v>13</v>
      </c>
      <c r="I9">
        <f t="shared" si="0"/>
        <v>20</v>
      </c>
      <c r="J9" t="str">
        <f t="shared" si="1"/>
        <v>Low Risk</v>
      </c>
    </row>
    <row r="10" spans="1:10" ht="45" x14ac:dyDescent="0.25">
      <c r="A10" s="3" t="s">
        <v>28</v>
      </c>
      <c r="B10" s="3" t="s">
        <v>29</v>
      </c>
      <c r="C10" s="4">
        <v>42</v>
      </c>
      <c r="D10" s="4">
        <v>15</v>
      </c>
      <c r="E10" s="4">
        <v>1.25</v>
      </c>
      <c r="F10" s="4">
        <v>12</v>
      </c>
      <c r="G10" s="3" t="s">
        <v>12</v>
      </c>
      <c r="H10" s="3" t="s">
        <v>13</v>
      </c>
      <c r="I10">
        <f t="shared" si="0"/>
        <v>20</v>
      </c>
      <c r="J10" t="str">
        <f t="shared" si="1"/>
        <v>Low Risk</v>
      </c>
    </row>
    <row r="11" spans="1:10" ht="45" x14ac:dyDescent="0.25">
      <c r="A11" s="3" t="s">
        <v>30</v>
      </c>
      <c r="B11" s="3" t="s">
        <v>31</v>
      </c>
      <c r="C11" s="4">
        <v>55</v>
      </c>
      <c r="D11" s="4">
        <v>20</v>
      </c>
      <c r="E11" s="4">
        <v>1.1000000000000001</v>
      </c>
      <c r="F11" s="4">
        <v>15</v>
      </c>
      <c r="G11" s="3" t="s">
        <v>12</v>
      </c>
      <c r="H11" s="3" t="s">
        <v>13</v>
      </c>
      <c r="I11">
        <f t="shared" si="0"/>
        <v>20</v>
      </c>
      <c r="J11" t="str">
        <f t="shared" si="1"/>
        <v>Low Risk</v>
      </c>
    </row>
    <row r="12" spans="1:10" ht="45" x14ac:dyDescent="0.25">
      <c r="A12" s="3" t="s">
        <v>32</v>
      </c>
      <c r="B12" s="3" t="s">
        <v>33</v>
      </c>
      <c r="C12" s="4">
        <v>38</v>
      </c>
      <c r="D12" s="4">
        <v>12</v>
      </c>
      <c r="E12" s="4">
        <v>1.2</v>
      </c>
      <c r="F12" s="4">
        <v>14</v>
      </c>
      <c r="G12" s="3" t="s">
        <v>12</v>
      </c>
      <c r="H12" s="3" t="s">
        <v>13</v>
      </c>
      <c r="I12">
        <f t="shared" si="0"/>
        <v>20</v>
      </c>
      <c r="J12" t="str">
        <f t="shared" si="1"/>
        <v>Low Risk</v>
      </c>
    </row>
    <row r="13" spans="1:10" ht="45" x14ac:dyDescent="0.25">
      <c r="A13" s="3" t="s">
        <v>34</v>
      </c>
      <c r="B13" s="3" t="s">
        <v>35</v>
      </c>
      <c r="C13" s="4">
        <v>48</v>
      </c>
      <c r="D13" s="4">
        <v>25</v>
      </c>
      <c r="E13" s="4">
        <v>1.05</v>
      </c>
      <c r="F13" s="4">
        <v>18</v>
      </c>
      <c r="G13" s="3" t="s">
        <v>36</v>
      </c>
      <c r="H13" s="3" t="s">
        <v>13</v>
      </c>
      <c r="I13">
        <f t="shared" si="0"/>
        <v>40</v>
      </c>
      <c r="J13" t="str">
        <f t="shared" si="1"/>
        <v>Watchlist</v>
      </c>
    </row>
    <row r="14" spans="1:10" ht="60" x14ac:dyDescent="0.25">
      <c r="A14" s="3" t="s">
        <v>37</v>
      </c>
      <c r="B14" s="3" t="s">
        <v>38</v>
      </c>
      <c r="C14" s="4">
        <v>40</v>
      </c>
      <c r="D14" s="4">
        <v>18</v>
      </c>
      <c r="E14" s="4">
        <v>1.1499999999999999</v>
      </c>
      <c r="F14" s="4">
        <v>17</v>
      </c>
      <c r="G14" s="3" t="s">
        <v>12</v>
      </c>
      <c r="H14" s="3" t="s">
        <v>13</v>
      </c>
      <c r="I14">
        <f t="shared" si="0"/>
        <v>20</v>
      </c>
      <c r="J14" t="str">
        <f t="shared" si="1"/>
        <v>Low Risk</v>
      </c>
    </row>
    <row r="15" spans="1:10" ht="45" x14ac:dyDescent="0.25">
      <c r="A15" s="3" t="s">
        <v>39</v>
      </c>
      <c r="B15" s="3" t="s">
        <v>15</v>
      </c>
      <c r="C15" s="4">
        <v>32</v>
      </c>
      <c r="D15" s="4">
        <v>22</v>
      </c>
      <c r="E15" s="4">
        <v>1.08</v>
      </c>
      <c r="F15" s="4">
        <v>19</v>
      </c>
      <c r="G15" s="3" t="s">
        <v>36</v>
      </c>
      <c r="H15" s="3" t="s">
        <v>13</v>
      </c>
      <c r="I15">
        <f t="shared" si="0"/>
        <v>40</v>
      </c>
      <c r="J15" t="str">
        <f t="shared" si="1"/>
        <v>Watchlist</v>
      </c>
    </row>
    <row r="16" spans="1:10" ht="30" x14ac:dyDescent="0.25">
      <c r="A16" s="3" t="s">
        <v>40</v>
      </c>
      <c r="B16" s="3" t="s">
        <v>41</v>
      </c>
      <c r="C16" s="4">
        <v>20</v>
      </c>
      <c r="D16" s="4">
        <v>10</v>
      </c>
      <c r="E16" s="4">
        <v>1.3</v>
      </c>
      <c r="F16" s="4">
        <v>11</v>
      </c>
      <c r="G16" s="3" t="s">
        <v>12</v>
      </c>
      <c r="H16" s="3" t="s">
        <v>13</v>
      </c>
      <c r="I16">
        <f t="shared" si="0"/>
        <v>20</v>
      </c>
      <c r="J16" t="str">
        <f t="shared" si="1"/>
        <v>Low Risk</v>
      </c>
    </row>
    <row r="17" spans="1:10" ht="45" x14ac:dyDescent="0.25">
      <c r="A17" s="3" t="s">
        <v>42</v>
      </c>
      <c r="B17" s="3" t="s">
        <v>43</v>
      </c>
      <c r="C17" s="4">
        <v>45</v>
      </c>
      <c r="D17" s="4">
        <v>28</v>
      </c>
      <c r="E17" s="4">
        <v>1</v>
      </c>
      <c r="F17" s="4">
        <v>20</v>
      </c>
      <c r="G17" s="3" t="s">
        <v>36</v>
      </c>
      <c r="H17" s="3" t="s">
        <v>44</v>
      </c>
      <c r="I17">
        <f t="shared" si="0"/>
        <v>65</v>
      </c>
      <c r="J17" t="str">
        <f t="shared" si="1"/>
        <v>High Risk</v>
      </c>
    </row>
    <row r="18" spans="1:10" ht="30" x14ac:dyDescent="0.25">
      <c r="A18" s="3" t="s">
        <v>45</v>
      </c>
      <c r="B18" s="3" t="s">
        <v>31</v>
      </c>
      <c r="C18" s="4">
        <v>75</v>
      </c>
      <c r="D18" s="4">
        <v>45</v>
      </c>
      <c r="E18" s="4">
        <v>0.85</v>
      </c>
      <c r="F18" s="4">
        <v>28</v>
      </c>
      <c r="G18" s="3" t="s">
        <v>36</v>
      </c>
      <c r="H18" s="3" t="s">
        <v>13</v>
      </c>
      <c r="I18">
        <f t="shared" si="0"/>
        <v>95</v>
      </c>
      <c r="J18" t="str">
        <f t="shared" si="1"/>
        <v>High Risk</v>
      </c>
    </row>
    <row r="19" spans="1:10" ht="60" x14ac:dyDescent="0.25">
      <c r="A19" s="3" t="s">
        <v>46</v>
      </c>
      <c r="B19" s="3" t="s">
        <v>29</v>
      </c>
      <c r="C19" s="4">
        <v>82</v>
      </c>
      <c r="D19" s="4">
        <v>60</v>
      </c>
      <c r="E19" s="4">
        <v>0.7</v>
      </c>
      <c r="F19" s="4">
        <v>35</v>
      </c>
      <c r="G19" s="3" t="s">
        <v>36</v>
      </c>
      <c r="H19" s="3" t="s">
        <v>44</v>
      </c>
      <c r="I19">
        <f t="shared" si="0"/>
        <v>120</v>
      </c>
      <c r="J19" t="str">
        <f t="shared" si="1"/>
        <v>High Risk</v>
      </c>
    </row>
    <row r="20" spans="1:10" ht="45" x14ac:dyDescent="0.25">
      <c r="A20" s="3" t="s">
        <v>47</v>
      </c>
      <c r="B20" s="3" t="s">
        <v>35</v>
      </c>
      <c r="C20" s="4">
        <v>68</v>
      </c>
      <c r="D20" s="4">
        <v>55</v>
      </c>
      <c r="E20" s="4">
        <v>0.9</v>
      </c>
      <c r="F20" s="4">
        <v>30</v>
      </c>
      <c r="G20" s="3" t="s">
        <v>36</v>
      </c>
      <c r="H20" s="3" t="s">
        <v>44</v>
      </c>
      <c r="I20">
        <f t="shared" si="0"/>
        <v>120</v>
      </c>
      <c r="J20" t="str">
        <f t="shared" si="1"/>
        <v>High Risk</v>
      </c>
    </row>
    <row r="21" spans="1:10" ht="30" x14ac:dyDescent="0.25">
      <c r="A21" s="3" t="s">
        <v>48</v>
      </c>
      <c r="B21" s="3" t="s">
        <v>38</v>
      </c>
      <c r="C21" s="4">
        <v>58</v>
      </c>
      <c r="D21" s="4">
        <v>40</v>
      </c>
      <c r="E21" s="4">
        <v>0.95</v>
      </c>
      <c r="F21" s="4">
        <v>25</v>
      </c>
      <c r="G21" s="3" t="s">
        <v>36</v>
      </c>
      <c r="H21" s="3" t="s">
        <v>13</v>
      </c>
      <c r="I21">
        <f t="shared" si="0"/>
        <v>95</v>
      </c>
      <c r="J21" t="str">
        <f t="shared" si="1"/>
        <v>High Risk</v>
      </c>
    </row>
    <row r="22" spans="1:10" ht="45" x14ac:dyDescent="0.25">
      <c r="A22" s="3" t="s">
        <v>49</v>
      </c>
      <c r="B22" s="3" t="s">
        <v>43</v>
      </c>
      <c r="C22" s="4">
        <v>52</v>
      </c>
      <c r="D22" s="4">
        <v>65</v>
      </c>
      <c r="E22" s="4">
        <v>0.75</v>
      </c>
      <c r="F22" s="4">
        <v>40</v>
      </c>
      <c r="G22" s="3" t="s">
        <v>36</v>
      </c>
      <c r="H22" s="3" t="s">
        <v>44</v>
      </c>
      <c r="I22">
        <f t="shared" si="0"/>
        <v>120</v>
      </c>
      <c r="J22" t="str">
        <f t="shared" si="1"/>
        <v>High Risk</v>
      </c>
    </row>
    <row r="23" spans="1:10" ht="60" x14ac:dyDescent="0.25">
      <c r="A23" s="3" t="s">
        <v>50</v>
      </c>
      <c r="B23" s="3" t="s">
        <v>51</v>
      </c>
      <c r="C23" s="4">
        <v>47</v>
      </c>
      <c r="D23" s="4">
        <v>50</v>
      </c>
      <c r="E23" s="4">
        <v>0.8</v>
      </c>
      <c r="F23" s="4">
        <v>32</v>
      </c>
      <c r="G23" s="3" t="s">
        <v>36</v>
      </c>
      <c r="H23" s="3" t="s">
        <v>44</v>
      </c>
      <c r="I23">
        <f t="shared" si="0"/>
        <v>120</v>
      </c>
      <c r="J23" t="str">
        <f t="shared" si="1"/>
        <v>High Risk</v>
      </c>
    </row>
    <row r="24" spans="1:10" ht="45" x14ac:dyDescent="0.25">
      <c r="A24" s="3" t="s">
        <v>52</v>
      </c>
      <c r="B24" s="3" t="s">
        <v>53</v>
      </c>
      <c r="C24" s="4">
        <v>43</v>
      </c>
      <c r="D24" s="4">
        <v>35</v>
      </c>
      <c r="E24" s="4">
        <v>0.92</v>
      </c>
      <c r="F24" s="4">
        <v>24</v>
      </c>
      <c r="G24" s="3" t="s">
        <v>36</v>
      </c>
      <c r="H24" s="3" t="s">
        <v>13</v>
      </c>
      <c r="I24">
        <f t="shared" si="0"/>
        <v>95</v>
      </c>
      <c r="J24" t="str">
        <f t="shared" si="1"/>
        <v>High Risk</v>
      </c>
    </row>
    <row r="25" spans="1:10" ht="60" x14ac:dyDescent="0.25">
      <c r="A25" s="3" t="s">
        <v>54</v>
      </c>
      <c r="B25" s="3" t="s">
        <v>17</v>
      </c>
      <c r="C25" s="4">
        <v>38</v>
      </c>
      <c r="D25" s="4">
        <v>70</v>
      </c>
      <c r="E25" s="4">
        <v>0.65</v>
      </c>
      <c r="F25" s="4">
        <v>45</v>
      </c>
      <c r="G25" s="3" t="s">
        <v>36</v>
      </c>
      <c r="H25" s="3" t="s">
        <v>44</v>
      </c>
      <c r="I25">
        <f t="shared" si="0"/>
        <v>120</v>
      </c>
      <c r="J25" t="str">
        <f t="shared" si="1"/>
        <v>High Risk</v>
      </c>
    </row>
    <row r="26" spans="1:10" ht="45" x14ac:dyDescent="0.25">
      <c r="A26" s="3" t="s">
        <v>55</v>
      </c>
      <c r="B26" s="3" t="s">
        <v>56</v>
      </c>
      <c r="C26" s="4">
        <v>88</v>
      </c>
      <c r="D26" s="4">
        <v>90</v>
      </c>
      <c r="E26" s="4">
        <v>0.6</v>
      </c>
      <c r="F26" s="4">
        <v>50</v>
      </c>
      <c r="G26" s="3" t="s">
        <v>36</v>
      </c>
      <c r="H26" s="3" t="s">
        <v>44</v>
      </c>
      <c r="I26">
        <f t="shared" si="0"/>
        <v>120</v>
      </c>
      <c r="J26" t="str">
        <f t="shared" si="1"/>
        <v>High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willy fernandes</cp:lastModifiedBy>
  <dcterms:created xsi:type="dcterms:W3CDTF">2015-06-05T18:17:20Z</dcterms:created>
  <dcterms:modified xsi:type="dcterms:W3CDTF">2026-06-03T17:54:21Z</dcterms:modified>
</cp:coreProperties>
</file>